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F783D0-10F6-4194-B005-27F5E59B6B76}" xr6:coauthVersionLast="47" xr6:coauthVersionMax="47" xr10:uidLastSave="{00000000-0000-0000-0000-000000000000}"/>
  <bookViews>
    <workbookView xWindow="-110" yWindow="-110" windowWidth="21820" windowHeight="13900" activeTab="5" xr2:uid="{00000000-000D-0000-FFFF-FFFF00000000}"/>
  </bookViews>
  <sheets>
    <sheet name="Feuil1" sheetId="1" r:id="rId1"/>
    <sheet name="Params" sheetId="2" r:id="rId2"/>
    <sheet name="Dashboard" sheetId="3" r:id="rId3"/>
    <sheet name="Lookups" sheetId="4" r:id="rId4"/>
    <sheet name="Validation" sheetId="5" r:id="rId5"/>
    <sheet name="Docs" sheetId="6" r:id="rId6"/>
  </sheets>
  <calcPr calcId="191029"/>
</workbook>
</file>

<file path=xl/calcChain.xml><?xml version="1.0" encoding="utf-8"?>
<calcChain xmlns="http://schemas.openxmlformats.org/spreadsheetml/2006/main">
  <c r="B4" i="3" l="1"/>
  <c r="B3" i="3"/>
  <c r="B5" i="3"/>
  <c r="G301" i="1"/>
  <c r="H301" i="1" s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G293" i="1"/>
  <c r="H293" i="1" s="1"/>
  <c r="H292" i="1"/>
  <c r="G292" i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H266" i="1"/>
  <c r="G266" i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H254" i="1" s="1"/>
  <c r="G253" i="1"/>
  <c r="H253" i="1" s="1"/>
  <c r="G252" i="1"/>
  <c r="H252" i="1" s="1"/>
  <c r="G251" i="1"/>
  <c r="H251" i="1" s="1"/>
  <c r="H250" i="1"/>
  <c r="G250" i="1"/>
  <c r="G249" i="1"/>
  <c r="H249" i="1" s="1"/>
  <c r="G248" i="1"/>
  <c r="H248" i="1" s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H234" i="1"/>
  <c r="G234" i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H218" i="1"/>
  <c r="G218" i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H202" i="1"/>
  <c r="G202" i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H186" i="1"/>
  <c r="G186" i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H170" i="1"/>
  <c r="G170" i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H154" i="1"/>
  <c r="G154" i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H138" i="1"/>
  <c r="G138" i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H126" i="1"/>
  <c r="G126" i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H118" i="1"/>
  <c r="G118" i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H110" i="1"/>
  <c r="G110" i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H102" i="1"/>
  <c r="G102" i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H94" i="1"/>
  <c r="G94" i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H86" i="1"/>
  <c r="G86" i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H78" i="1"/>
  <c r="G78" i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H70" i="1"/>
  <c r="G70" i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H62" i="1"/>
  <c r="G62" i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H54" i="1"/>
  <c r="G54" i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H46" i="1"/>
  <c r="G46" i="1"/>
  <c r="G45" i="1"/>
  <c r="H45" i="1" s="1"/>
  <c r="H44" i="1"/>
  <c r="G44" i="1"/>
  <c r="G43" i="1"/>
  <c r="H43" i="1" s="1"/>
  <c r="H42" i="1"/>
  <c r="G42" i="1"/>
  <c r="G41" i="1"/>
  <c r="H41" i="1" s="1"/>
  <c r="H40" i="1"/>
  <c r="G40" i="1"/>
  <c r="G39" i="1"/>
  <c r="H39" i="1" s="1"/>
  <c r="H38" i="1"/>
  <c r="G38" i="1"/>
  <c r="G37" i="1"/>
  <c r="H37" i="1" s="1"/>
  <c r="H36" i="1"/>
  <c r="G36" i="1"/>
  <c r="G35" i="1"/>
  <c r="H35" i="1" s="1"/>
  <c r="H34" i="1"/>
  <c r="G34" i="1"/>
  <c r="G33" i="1"/>
  <c r="H33" i="1" s="1"/>
  <c r="H32" i="1"/>
  <c r="G32" i="1"/>
  <c r="G31" i="1"/>
  <c r="H31" i="1" s="1"/>
  <c r="H30" i="1"/>
  <c r="G30" i="1"/>
  <c r="G29" i="1"/>
  <c r="H29" i="1" s="1"/>
  <c r="H28" i="1"/>
  <c r="G28" i="1"/>
  <c r="G27" i="1"/>
  <c r="H27" i="1" s="1"/>
  <c r="H26" i="1"/>
  <c r="G26" i="1"/>
  <c r="G25" i="1"/>
  <c r="H25" i="1" s="1"/>
  <c r="H24" i="1"/>
  <c r="G24" i="1"/>
  <c r="G23" i="1"/>
  <c r="H23" i="1" s="1"/>
  <c r="H22" i="1"/>
  <c r="G22" i="1"/>
  <c r="G21" i="1"/>
  <c r="H21" i="1" s="1"/>
  <c r="H20" i="1"/>
  <c r="G20" i="1"/>
  <c r="G19" i="1"/>
  <c r="H19" i="1" s="1"/>
  <c r="H18" i="1"/>
  <c r="G18" i="1"/>
  <c r="G17" i="1"/>
  <c r="H17" i="1" s="1"/>
  <c r="H16" i="1"/>
  <c r="G16" i="1"/>
  <c r="G15" i="1"/>
  <c r="H15" i="1" s="1"/>
  <c r="H14" i="1"/>
  <c r="G14" i="1"/>
  <c r="G13" i="1"/>
  <c r="H13" i="1" s="1"/>
  <c r="H12" i="1"/>
  <c r="G12" i="1"/>
  <c r="G11" i="1"/>
  <c r="H11" i="1" s="1"/>
  <c r="H10" i="1"/>
  <c r="G10" i="1"/>
  <c r="G9" i="1"/>
  <c r="H9" i="1" s="1"/>
  <c r="H8" i="1"/>
  <c r="G8" i="1"/>
  <c r="G7" i="1"/>
  <c r="H7" i="1" s="1"/>
  <c r="H6" i="1"/>
  <c r="G6" i="1"/>
  <c r="G5" i="1"/>
  <c r="H5" i="1" s="1"/>
  <c r="H4" i="1"/>
  <c r="G4" i="1"/>
  <c r="G3" i="1"/>
  <c r="H3" i="1" s="1"/>
  <c r="H2" i="1"/>
  <c r="G2" i="1"/>
</calcChain>
</file>

<file path=xl/sharedStrings.xml><?xml version="1.0" encoding="utf-8"?>
<sst xmlns="http://schemas.openxmlformats.org/spreadsheetml/2006/main" count="648" uniqueCount="57">
  <si>
    <t>Date</t>
  </si>
  <si>
    <t>Region</t>
  </si>
  <si>
    <t>Produit</t>
  </si>
  <si>
    <t>Quantite</t>
  </si>
  <si>
    <t>Prix_Unitaire</t>
  </si>
  <si>
    <t>Cout_Production</t>
  </si>
  <si>
    <t>Chiffre_Affaires</t>
  </si>
  <si>
    <t>Profit</t>
  </si>
  <si>
    <t>Est</t>
  </si>
  <si>
    <t>Écran</t>
  </si>
  <si>
    <t>Nord</t>
  </si>
  <si>
    <t>Imprimante</t>
  </si>
  <si>
    <t>Souris</t>
  </si>
  <si>
    <t>Ouest</t>
  </si>
  <si>
    <t>Clavier</t>
  </si>
  <si>
    <t>Casque</t>
  </si>
  <si>
    <t>Sud</t>
  </si>
  <si>
    <t>Tablette</t>
  </si>
  <si>
    <t>Webcam</t>
  </si>
  <si>
    <t>PC</t>
  </si>
  <si>
    <t>Parametre</t>
  </si>
  <si>
    <t>Valeur</t>
  </si>
  <si>
    <t>TAUX_TVA</t>
  </si>
  <si>
    <t>TAUX_REMISE</t>
  </si>
  <si>
    <t>NOM_ENTREPRISE</t>
  </si>
  <si>
    <t>ExoMarket SA</t>
  </si>
  <si>
    <t>Tableau de bord commercial (A optimiser)</t>
  </si>
  <si>
    <t>Total Chiffre d'affaires</t>
  </si>
  <si>
    <t>Total Profit</t>
  </si>
  <si>
    <t>Montant TTC (CA*(1+TVA))</t>
  </si>
  <si>
    <t>Top produit (CA) — (à faire via TCD)</t>
  </si>
  <si>
    <t>Pays</t>
  </si>
  <si>
    <t>France</t>
  </si>
  <si>
    <t>Tunisie</t>
  </si>
  <si>
    <t>Italie</t>
  </si>
  <si>
    <t>Paris</t>
  </si>
  <si>
    <t>Tunis</t>
  </si>
  <si>
    <t>Rome</t>
  </si>
  <si>
    <t>Lyon</t>
  </si>
  <si>
    <t>Sfax</t>
  </si>
  <si>
    <t>Milan</t>
  </si>
  <si>
    <t>Marseille</t>
  </si>
  <si>
    <t>Sousse</t>
  </si>
  <si>
    <t>Naples</t>
  </si>
  <si>
    <t>Lille</t>
  </si>
  <si>
    <t>Bizerte</t>
  </si>
  <si>
    <t>Turin</t>
  </si>
  <si>
    <t>Choisissez un pays :</t>
  </si>
  <si>
    <t>Choisissez une ville :</t>
  </si>
  <si>
    <t>Exercice: Optimisation d'un Tableau de Bord (A faire)</t>
  </si>
  <si>
    <t>1) Identifier les constantes (TVA, Remise, Nom entreprise) et créer des NOMS</t>
  </si>
  <si>
    <t>2) Créer des NOMS pour les colonnes clés (Quantite, Prix_Unitaire, Ventes_Total)</t>
  </si>
  <si>
    <t>3) Créer une plage dynamique DONNEES_DYNAMIQUES (DECALER)</t>
  </si>
  <si>
    <t>4) Re-écrire les formules du Dashboard en utilisant les NOMS</t>
  </si>
  <si>
    <t>5) Créer un TCD basé sur DONNEES_DYNAMIQUES (Produit en lignes, Somme CA)</t>
  </si>
  <si>
    <t>6) Créer une validation dépendante (Pays -&gt; Villes) avec INDIRECT</t>
  </si>
  <si>
    <t>7) Documenter les NOMS (ajouter commentaires)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</si>
</sst>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0" borderId="0" xfId="0" applyNumberFormat="1"/>
    <xf numFmtId="10" fontId="0" fillId="0" borderId="0" xfId="0" applyNumberFormat="1"/>
    <xf numFmtId="0" fontId="0" fillId="0" borderId="2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64" fontId="0" fillId="3" borderId="4" xfId="0" applyNumberFormat="1" applyFont="1" applyFill="1" applyBorder="1"/>
    <xf numFmtId="0" fontId="0" fillId="3" borderId="5" xfId="0" applyFont="1" applyFill="1" applyBorder="1"/>
    <xf numFmtId="4" fontId="0" fillId="3" borderId="5" xfId="0" applyNumberFormat="1" applyFont="1" applyFill="1" applyBorder="1"/>
    <xf numFmtId="4" fontId="0" fillId="3" borderId="6" xfId="0" applyNumberFormat="1" applyFont="1" applyFill="1" applyBorder="1"/>
    <xf numFmtId="164" fontId="0" fillId="0" borderId="4" xfId="0" applyNumberFormat="1" applyFont="1" applyBorder="1"/>
    <xf numFmtId="0" fontId="0" fillId="0" borderId="5" xfId="0" applyFont="1" applyBorder="1"/>
    <xf numFmtId="4" fontId="0" fillId="0" borderId="5" xfId="0" applyNumberFormat="1" applyFont="1" applyBorder="1"/>
    <xf numFmtId="4" fontId="0" fillId="0" borderId="6" xfId="0" applyNumberFormat="1" applyFont="1" applyBorder="1"/>
    <xf numFmtId="164" fontId="0" fillId="0" borderId="1" xfId="0" applyNumberFormat="1" applyFont="1" applyBorder="1"/>
    <xf numFmtId="4" fontId="0" fillId="0" borderId="2" xfId="0" applyNumberFormat="1" applyFont="1" applyBorder="1"/>
    <xf numFmtId="4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opLeftCell="A257" workbookViewId="0">
      <selection activeCell="J208" sqref="J208"/>
    </sheetView>
  </sheetViews>
  <sheetFormatPr baseColWidth="10" defaultColWidth="8.7265625" defaultRowHeight="14.5" x14ac:dyDescent="0.35"/>
  <cols>
    <col min="1" max="1" width="12" customWidth="1"/>
    <col min="2" max="2" width="8" customWidth="1"/>
    <col min="3" max="3" width="12" customWidth="1"/>
    <col min="4" max="4" width="10" customWidth="1"/>
    <col min="5" max="5" width="15" customWidth="1"/>
    <col min="6" max="6" width="17" customWidth="1"/>
    <col min="7" max="7" width="18" customWidth="1"/>
    <col min="8" max="8" width="17" customWidth="1"/>
  </cols>
  <sheetData>
    <row r="1" spans="1:8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x14ac:dyDescent="0.35">
      <c r="A2" s="7">
        <v>45658</v>
      </c>
      <c r="B2" s="8" t="s">
        <v>8</v>
      </c>
      <c r="C2" s="8" t="s">
        <v>9</v>
      </c>
      <c r="D2" s="8">
        <v>26</v>
      </c>
      <c r="E2" s="9">
        <v>531.22</v>
      </c>
      <c r="F2" s="9">
        <v>252.52</v>
      </c>
      <c r="G2" s="9">
        <f t="shared" ref="G2:G65" si="0">D2*E2</f>
        <v>13811.720000000001</v>
      </c>
      <c r="H2" s="10">
        <f t="shared" ref="H2:H65" si="1">G2-D2*F2</f>
        <v>7246.2000000000007</v>
      </c>
    </row>
    <row r="3" spans="1:8" x14ac:dyDescent="0.35">
      <c r="A3" s="11">
        <v>45659</v>
      </c>
      <c r="B3" s="12" t="s">
        <v>10</v>
      </c>
      <c r="C3" s="12" t="s">
        <v>11</v>
      </c>
      <c r="D3" s="12">
        <v>38</v>
      </c>
      <c r="E3" s="13">
        <v>74.66</v>
      </c>
      <c r="F3" s="13">
        <v>46.86</v>
      </c>
      <c r="G3" s="13">
        <f t="shared" si="0"/>
        <v>2837.08</v>
      </c>
      <c r="H3" s="14">
        <f t="shared" si="1"/>
        <v>1056.3999999999999</v>
      </c>
    </row>
    <row r="4" spans="1:8" x14ac:dyDescent="0.35">
      <c r="A4" s="7">
        <v>45660</v>
      </c>
      <c r="B4" s="8" t="s">
        <v>10</v>
      </c>
      <c r="C4" s="8" t="s">
        <v>12</v>
      </c>
      <c r="D4" s="8">
        <v>28</v>
      </c>
      <c r="E4" s="9">
        <v>351.99</v>
      </c>
      <c r="F4" s="9">
        <v>188.04</v>
      </c>
      <c r="G4" s="9">
        <f t="shared" si="0"/>
        <v>9855.7200000000012</v>
      </c>
      <c r="H4" s="10">
        <f t="shared" si="1"/>
        <v>4590.6000000000013</v>
      </c>
    </row>
    <row r="5" spans="1:8" x14ac:dyDescent="0.35">
      <c r="A5" s="11">
        <v>45661</v>
      </c>
      <c r="B5" s="12" t="s">
        <v>13</v>
      </c>
      <c r="C5" s="12" t="s">
        <v>14</v>
      </c>
      <c r="D5" s="12">
        <v>37</v>
      </c>
      <c r="E5" s="13">
        <v>125.33</v>
      </c>
      <c r="F5" s="13">
        <v>66.19</v>
      </c>
      <c r="G5" s="13">
        <f t="shared" si="0"/>
        <v>4637.21</v>
      </c>
      <c r="H5" s="14">
        <f t="shared" si="1"/>
        <v>2188.1800000000003</v>
      </c>
    </row>
    <row r="6" spans="1:8" x14ac:dyDescent="0.35">
      <c r="A6" s="7">
        <v>45662</v>
      </c>
      <c r="B6" s="8" t="s">
        <v>10</v>
      </c>
      <c r="C6" s="8" t="s">
        <v>15</v>
      </c>
      <c r="D6" s="8">
        <v>4</v>
      </c>
      <c r="E6" s="9">
        <v>781.72</v>
      </c>
      <c r="F6" s="9">
        <v>364.52</v>
      </c>
      <c r="G6" s="9">
        <f t="shared" si="0"/>
        <v>3126.88</v>
      </c>
      <c r="H6" s="10">
        <f t="shared" si="1"/>
        <v>1668.8000000000002</v>
      </c>
    </row>
    <row r="7" spans="1:8" x14ac:dyDescent="0.35">
      <c r="A7" s="11">
        <v>45663</v>
      </c>
      <c r="B7" s="12" t="s">
        <v>16</v>
      </c>
      <c r="C7" s="12" t="s">
        <v>17</v>
      </c>
      <c r="D7" s="12">
        <v>27</v>
      </c>
      <c r="E7" s="13">
        <v>141.08000000000001</v>
      </c>
      <c r="F7" s="13">
        <v>69.3</v>
      </c>
      <c r="G7" s="13">
        <f t="shared" si="0"/>
        <v>3809.1600000000003</v>
      </c>
      <c r="H7" s="14">
        <f t="shared" si="1"/>
        <v>1938.0600000000004</v>
      </c>
    </row>
    <row r="8" spans="1:8" x14ac:dyDescent="0.35">
      <c r="A8" s="7">
        <v>45664</v>
      </c>
      <c r="B8" s="8" t="s">
        <v>8</v>
      </c>
      <c r="C8" s="8" t="s">
        <v>9</v>
      </c>
      <c r="D8" s="8">
        <v>7</v>
      </c>
      <c r="E8" s="9">
        <v>477.83</v>
      </c>
      <c r="F8" s="9">
        <v>321.88</v>
      </c>
      <c r="G8" s="9">
        <f t="shared" si="0"/>
        <v>3344.81</v>
      </c>
      <c r="H8" s="10">
        <f t="shared" si="1"/>
        <v>1091.6500000000001</v>
      </c>
    </row>
    <row r="9" spans="1:8" x14ac:dyDescent="0.35">
      <c r="A9" s="11">
        <v>45665</v>
      </c>
      <c r="B9" s="12" t="s">
        <v>8</v>
      </c>
      <c r="C9" s="12" t="s">
        <v>12</v>
      </c>
      <c r="D9" s="12">
        <v>36</v>
      </c>
      <c r="E9" s="13">
        <v>578.33000000000004</v>
      </c>
      <c r="F9" s="13">
        <v>374.49</v>
      </c>
      <c r="G9" s="13">
        <f t="shared" si="0"/>
        <v>20819.88</v>
      </c>
      <c r="H9" s="14">
        <f t="shared" si="1"/>
        <v>7338.2400000000016</v>
      </c>
    </row>
    <row r="10" spans="1:8" x14ac:dyDescent="0.35">
      <c r="A10" s="7">
        <v>45666</v>
      </c>
      <c r="B10" s="8" t="s">
        <v>16</v>
      </c>
      <c r="C10" s="8" t="s">
        <v>18</v>
      </c>
      <c r="D10" s="8">
        <v>35</v>
      </c>
      <c r="E10" s="9">
        <v>359.25</v>
      </c>
      <c r="F10" s="9">
        <v>201.16</v>
      </c>
      <c r="G10" s="9">
        <f t="shared" si="0"/>
        <v>12573.75</v>
      </c>
      <c r="H10" s="10">
        <f t="shared" si="1"/>
        <v>5533.1500000000005</v>
      </c>
    </row>
    <row r="11" spans="1:8" x14ac:dyDescent="0.35">
      <c r="A11" s="11">
        <v>45667</v>
      </c>
      <c r="B11" s="12" t="s">
        <v>13</v>
      </c>
      <c r="C11" s="12" t="s">
        <v>11</v>
      </c>
      <c r="D11" s="12">
        <v>20</v>
      </c>
      <c r="E11" s="13">
        <v>221.29</v>
      </c>
      <c r="F11" s="13">
        <v>113.5</v>
      </c>
      <c r="G11" s="13">
        <f t="shared" si="0"/>
        <v>4425.8</v>
      </c>
      <c r="H11" s="14">
        <f t="shared" si="1"/>
        <v>2155.8000000000002</v>
      </c>
    </row>
    <row r="12" spans="1:8" x14ac:dyDescent="0.35">
      <c r="A12" s="7">
        <v>45668</v>
      </c>
      <c r="B12" s="8" t="s">
        <v>16</v>
      </c>
      <c r="C12" s="8" t="s">
        <v>12</v>
      </c>
      <c r="D12" s="8">
        <v>37</v>
      </c>
      <c r="E12" s="9">
        <v>261.19</v>
      </c>
      <c r="F12" s="9">
        <v>162.80000000000001</v>
      </c>
      <c r="G12" s="9">
        <f t="shared" si="0"/>
        <v>9664.0300000000007</v>
      </c>
      <c r="H12" s="10">
        <f t="shared" si="1"/>
        <v>3640.4300000000003</v>
      </c>
    </row>
    <row r="13" spans="1:8" x14ac:dyDescent="0.35">
      <c r="A13" s="11">
        <v>45669</v>
      </c>
      <c r="B13" s="12" t="s">
        <v>8</v>
      </c>
      <c r="C13" s="12" t="s">
        <v>18</v>
      </c>
      <c r="D13" s="12">
        <v>19</v>
      </c>
      <c r="E13" s="13">
        <v>498.9</v>
      </c>
      <c r="F13" s="13">
        <v>237.29</v>
      </c>
      <c r="G13" s="13">
        <f t="shared" si="0"/>
        <v>9479.1</v>
      </c>
      <c r="H13" s="14">
        <f t="shared" si="1"/>
        <v>4970.59</v>
      </c>
    </row>
    <row r="14" spans="1:8" x14ac:dyDescent="0.35">
      <c r="A14" s="7">
        <v>45670</v>
      </c>
      <c r="B14" s="8" t="s">
        <v>13</v>
      </c>
      <c r="C14" s="8" t="s">
        <v>9</v>
      </c>
      <c r="D14" s="8">
        <v>22</v>
      </c>
      <c r="E14" s="9">
        <v>147.03</v>
      </c>
      <c r="F14" s="9">
        <v>91.33</v>
      </c>
      <c r="G14" s="9">
        <f t="shared" si="0"/>
        <v>3234.66</v>
      </c>
      <c r="H14" s="10">
        <f t="shared" si="1"/>
        <v>1225.3999999999999</v>
      </c>
    </row>
    <row r="15" spans="1:8" x14ac:dyDescent="0.35">
      <c r="A15" s="11">
        <v>45671</v>
      </c>
      <c r="B15" s="12" t="s">
        <v>10</v>
      </c>
      <c r="C15" s="12" t="s">
        <v>12</v>
      </c>
      <c r="D15" s="12">
        <v>36</v>
      </c>
      <c r="E15" s="13">
        <v>471.23</v>
      </c>
      <c r="F15" s="13">
        <v>356.45</v>
      </c>
      <c r="G15" s="13">
        <f t="shared" si="0"/>
        <v>16964.28</v>
      </c>
      <c r="H15" s="14">
        <f t="shared" si="1"/>
        <v>4132.08</v>
      </c>
    </row>
    <row r="16" spans="1:8" x14ac:dyDescent="0.35">
      <c r="A16" s="7">
        <v>45672</v>
      </c>
      <c r="B16" s="8" t="s">
        <v>8</v>
      </c>
      <c r="C16" s="8" t="s">
        <v>11</v>
      </c>
      <c r="D16" s="8">
        <v>23</v>
      </c>
      <c r="E16" s="9">
        <v>487.66</v>
      </c>
      <c r="F16" s="9">
        <v>318.42</v>
      </c>
      <c r="G16" s="9">
        <f t="shared" si="0"/>
        <v>11216.18</v>
      </c>
      <c r="H16" s="10">
        <f t="shared" si="1"/>
        <v>3892.5199999999995</v>
      </c>
    </row>
    <row r="17" spans="1:8" x14ac:dyDescent="0.35">
      <c r="A17" s="11">
        <v>45673</v>
      </c>
      <c r="B17" s="12" t="s">
        <v>13</v>
      </c>
      <c r="C17" s="12" t="s">
        <v>12</v>
      </c>
      <c r="D17" s="12">
        <v>6</v>
      </c>
      <c r="E17" s="13">
        <v>757.4</v>
      </c>
      <c r="F17" s="13">
        <v>466.51</v>
      </c>
      <c r="G17" s="13">
        <f t="shared" si="0"/>
        <v>4544.3999999999996</v>
      </c>
      <c r="H17" s="14">
        <f t="shared" si="1"/>
        <v>1745.3399999999997</v>
      </c>
    </row>
    <row r="18" spans="1:8" x14ac:dyDescent="0.35">
      <c r="A18" s="7">
        <v>45674</v>
      </c>
      <c r="B18" s="8" t="s">
        <v>10</v>
      </c>
      <c r="C18" s="8" t="s">
        <v>14</v>
      </c>
      <c r="D18" s="8">
        <v>20</v>
      </c>
      <c r="E18" s="9">
        <v>528.29</v>
      </c>
      <c r="F18" s="9">
        <v>421.36</v>
      </c>
      <c r="G18" s="9">
        <f t="shared" si="0"/>
        <v>10565.8</v>
      </c>
      <c r="H18" s="10">
        <f t="shared" si="1"/>
        <v>2138.5999999999985</v>
      </c>
    </row>
    <row r="19" spans="1:8" x14ac:dyDescent="0.35">
      <c r="A19" s="11">
        <v>45675</v>
      </c>
      <c r="B19" s="12" t="s">
        <v>13</v>
      </c>
      <c r="C19" s="12" t="s">
        <v>17</v>
      </c>
      <c r="D19" s="12">
        <v>25</v>
      </c>
      <c r="E19" s="13">
        <v>713.02</v>
      </c>
      <c r="F19" s="13">
        <v>407.46</v>
      </c>
      <c r="G19" s="13">
        <f t="shared" si="0"/>
        <v>17825.5</v>
      </c>
      <c r="H19" s="14">
        <f t="shared" si="1"/>
        <v>7639</v>
      </c>
    </row>
    <row r="20" spans="1:8" x14ac:dyDescent="0.35">
      <c r="A20" s="7">
        <v>45676</v>
      </c>
      <c r="B20" s="8" t="s">
        <v>13</v>
      </c>
      <c r="C20" s="8" t="s">
        <v>11</v>
      </c>
      <c r="D20" s="8">
        <v>11</v>
      </c>
      <c r="E20" s="9">
        <v>500.41</v>
      </c>
      <c r="F20" s="9">
        <v>311.64999999999998</v>
      </c>
      <c r="G20" s="9">
        <f t="shared" si="0"/>
        <v>5504.51</v>
      </c>
      <c r="H20" s="10">
        <f t="shared" si="1"/>
        <v>2076.3600000000006</v>
      </c>
    </row>
    <row r="21" spans="1:8" x14ac:dyDescent="0.35">
      <c r="A21" s="11">
        <v>45677</v>
      </c>
      <c r="B21" s="12" t="s">
        <v>16</v>
      </c>
      <c r="C21" s="12" t="s">
        <v>17</v>
      </c>
      <c r="D21" s="12">
        <v>9</v>
      </c>
      <c r="E21" s="13">
        <v>598.54</v>
      </c>
      <c r="F21" s="13">
        <v>352.7</v>
      </c>
      <c r="G21" s="13">
        <f t="shared" si="0"/>
        <v>5386.86</v>
      </c>
      <c r="H21" s="14">
        <f t="shared" si="1"/>
        <v>2212.56</v>
      </c>
    </row>
    <row r="22" spans="1:8" x14ac:dyDescent="0.35">
      <c r="A22" s="7">
        <v>45678</v>
      </c>
      <c r="B22" s="8" t="s">
        <v>13</v>
      </c>
      <c r="C22" s="8" t="s">
        <v>12</v>
      </c>
      <c r="D22" s="8">
        <v>11</v>
      </c>
      <c r="E22" s="9">
        <v>375.87</v>
      </c>
      <c r="F22" s="9">
        <v>241.42</v>
      </c>
      <c r="G22" s="9">
        <f t="shared" si="0"/>
        <v>4134.57</v>
      </c>
      <c r="H22" s="10">
        <f t="shared" si="1"/>
        <v>1478.9499999999998</v>
      </c>
    </row>
    <row r="23" spans="1:8" x14ac:dyDescent="0.35">
      <c r="A23" s="11">
        <v>45679</v>
      </c>
      <c r="B23" s="12" t="s">
        <v>16</v>
      </c>
      <c r="C23" s="12" t="s">
        <v>15</v>
      </c>
      <c r="D23" s="12">
        <v>36</v>
      </c>
      <c r="E23" s="13">
        <v>244.38</v>
      </c>
      <c r="F23" s="13">
        <v>145.49</v>
      </c>
      <c r="G23" s="13">
        <f t="shared" si="0"/>
        <v>8797.68</v>
      </c>
      <c r="H23" s="14">
        <f t="shared" si="1"/>
        <v>3560.04</v>
      </c>
    </row>
    <row r="24" spans="1:8" x14ac:dyDescent="0.35">
      <c r="A24" s="7">
        <v>45680</v>
      </c>
      <c r="B24" s="8" t="s">
        <v>8</v>
      </c>
      <c r="C24" s="8" t="s">
        <v>15</v>
      </c>
      <c r="D24" s="8">
        <v>15</v>
      </c>
      <c r="E24" s="9">
        <v>146.21</v>
      </c>
      <c r="F24" s="9">
        <v>74.81</v>
      </c>
      <c r="G24" s="9">
        <f t="shared" si="0"/>
        <v>2193.15</v>
      </c>
      <c r="H24" s="10">
        <f t="shared" si="1"/>
        <v>1071</v>
      </c>
    </row>
    <row r="25" spans="1:8" x14ac:dyDescent="0.35">
      <c r="A25" s="11">
        <v>45681</v>
      </c>
      <c r="B25" s="12" t="s">
        <v>16</v>
      </c>
      <c r="C25" s="12" t="s">
        <v>19</v>
      </c>
      <c r="D25" s="12">
        <v>1</v>
      </c>
      <c r="E25" s="13">
        <v>403.42</v>
      </c>
      <c r="F25" s="13">
        <v>264.72000000000003</v>
      </c>
      <c r="G25" s="13">
        <f t="shared" si="0"/>
        <v>403.42</v>
      </c>
      <c r="H25" s="14">
        <f t="shared" si="1"/>
        <v>138.69999999999999</v>
      </c>
    </row>
    <row r="26" spans="1:8" x14ac:dyDescent="0.35">
      <c r="A26" s="7">
        <v>45682</v>
      </c>
      <c r="B26" s="8" t="s">
        <v>8</v>
      </c>
      <c r="C26" s="8" t="s">
        <v>17</v>
      </c>
      <c r="D26" s="8">
        <v>1</v>
      </c>
      <c r="E26" s="9">
        <v>142.16999999999999</v>
      </c>
      <c r="F26" s="9">
        <v>90.58</v>
      </c>
      <c r="G26" s="9">
        <f t="shared" si="0"/>
        <v>142.16999999999999</v>
      </c>
      <c r="H26" s="10">
        <f t="shared" si="1"/>
        <v>51.589999999999989</v>
      </c>
    </row>
    <row r="27" spans="1:8" x14ac:dyDescent="0.35">
      <c r="A27" s="11">
        <v>45683</v>
      </c>
      <c r="B27" s="12" t="s">
        <v>8</v>
      </c>
      <c r="C27" s="12" t="s">
        <v>9</v>
      </c>
      <c r="D27" s="12">
        <v>33</v>
      </c>
      <c r="E27" s="13">
        <v>761.67</v>
      </c>
      <c r="F27" s="13">
        <v>517.36</v>
      </c>
      <c r="G27" s="13">
        <f t="shared" si="0"/>
        <v>25135.109999999997</v>
      </c>
      <c r="H27" s="14">
        <f t="shared" si="1"/>
        <v>8062.2299999999959</v>
      </c>
    </row>
    <row r="28" spans="1:8" x14ac:dyDescent="0.35">
      <c r="A28" s="7">
        <v>45684</v>
      </c>
      <c r="B28" s="8" t="s">
        <v>10</v>
      </c>
      <c r="C28" s="8" t="s">
        <v>18</v>
      </c>
      <c r="D28" s="8">
        <v>36</v>
      </c>
      <c r="E28" s="9">
        <v>332.13</v>
      </c>
      <c r="F28" s="9">
        <v>195.84</v>
      </c>
      <c r="G28" s="9">
        <f t="shared" si="0"/>
        <v>11956.68</v>
      </c>
      <c r="H28" s="10">
        <f t="shared" si="1"/>
        <v>4906.4400000000005</v>
      </c>
    </row>
    <row r="29" spans="1:8" x14ac:dyDescent="0.35">
      <c r="A29" s="11">
        <v>45685</v>
      </c>
      <c r="B29" s="12" t="s">
        <v>10</v>
      </c>
      <c r="C29" s="12" t="s">
        <v>18</v>
      </c>
      <c r="D29" s="12">
        <v>26</v>
      </c>
      <c r="E29" s="13">
        <v>77.930000000000007</v>
      </c>
      <c r="F29" s="13">
        <v>36.909999999999997</v>
      </c>
      <c r="G29" s="13">
        <f t="shared" si="0"/>
        <v>2026.1800000000003</v>
      </c>
      <c r="H29" s="14">
        <f t="shared" si="1"/>
        <v>1066.5200000000004</v>
      </c>
    </row>
    <row r="30" spans="1:8" x14ac:dyDescent="0.35">
      <c r="A30" s="7">
        <v>45686</v>
      </c>
      <c r="B30" s="8" t="s">
        <v>16</v>
      </c>
      <c r="C30" s="8" t="s">
        <v>18</v>
      </c>
      <c r="D30" s="8">
        <v>11</v>
      </c>
      <c r="E30" s="9">
        <v>114.64</v>
      </c>
      <c r="F30" s="9">
        <v>75.69</v>
      </c>
      <c r="G30" s="9">
        <f t="shared" si="0"/>
        <v>1261.04</v>
      </c>
      <c r="H30" s="10">
        <f t="shared" si="1"/>
        <v>428.45000000000005</v>
      </c>
    </row>
    <row r="31" spans="1:8" x14ac:dyDescent="0.35">
      <c r="A31" s="11">
        <v>45687</v>
      </c>
      <c r="B31" s="12" t="s">
        <v>10</v>
      </c>
      <c r="C31" s="12" t="s">
        <v>14</v>
      </c>
      <c r="D31" s="12">
        <v>37</v>
      </c>
      <c r="E31" s="13">
        <v>146.47</v>
      </c>
      <c r="F31" s="13">
        <v>71.11</v>
      </c>
      <c r="G31" s="13">
        <f t="shared" si="0"/>
        <v>5419.39</v>
      </c>
      <c r="H31" s="14">
        <f t="shared" si="1"/>
        <v>2788.32</v>
      </c>
    </row>
    <row r="32" spans="1:8" x14ac:dyDescent="0.35">
      <c r="A32" s="7">
        <v>45688</v>
      </c>
      <c r="B32" s="8" t="s">
        <v>8</v>
      </c>
      <c r="C32" s="8" t="s">
        <v>14</v>
      </c>
      <c r="D32" s="8">
        <v>5</v>
      </c>
      <c r="E32" s="9">
        <v>703.24</v>
      </c>
      <c r="F32" s="9">
        <v>467.6</v>
      </c>
      <c r="G32" s="9">
        <f t="shared" si="0"/>
        <v>3516.2</v>
      </c>
      <c r="H32" s="10">
        <f t="shared" si="1"/>
        <v>1178.1999999999998</v>
      </c>
    </row>
    <row r="33" spans="1:8" x14ac:dyDescent="0.35">
      <c r="A33" s="11">
        <v>45689</v>
      </c>
      <c r="B33" s="12" t="s">
        <v>16</v>
      </c>
      <c r="C33" s="12" t="s">
        <v>17</v>
      </c>
      <c r="D33" s="12">
        <v>23</v>
      </c>
      <c r="E33" s="13">
        <v>493.75</v>
      </c>
      <c r="F33" s="13">
        <v>304.13</v>
      </c>
      <c r="G33" s="13">
        <f t="shared" si="0"/>
        <v>11356.25</v>
      </c>
      <c r="H33" s="14">
        <f t="shared" si="1"/>
        <v>4361.26</v>
      </c>
    </row>
    <row r="34" spans="1:8" x14ac:dyDescent="0.35">
      <c r="A34" s="7">
        <v>45690</v>
      </c>
      <c r="B34" s="8" t="s">
        <v>10</v>
      </c>
      <c r="C34" s="8" t="s">
        <v>18</v>
      </c>
      <c r="D34" s="8">
        <v>30</v>
      </c>
      <c r="E34" s="9">
        <v>399.9</v>
      </c>
      <c r="F34" s="9">
        <v>223.6</v>
      </c>
      <c r="G34" s="9">
        <f t="shared" si="0"/>
        <v>11997</v>
      </c>
      <c r="H34" s="10">
        <f t="shared" si="1"/>
        <v>5289</v>
      </c>
    </row>
    <row r="35" spans="1:8" x14ac:dyDescent="0.35">
      <c r="A35" s="11">
        <v>45691</v>
      </c>
      <c r="B35" s="12" t="s">
        <v>16</v>
      </c>
      <c r="C35" s="12" t="s">
        <v>12</v>
      </c>
      <c r="D35" s="12">
        <v>22</v>
      </c>
      <c r="E35" s="13">
        <v>600.07000000000005</v>
      </c>
      <c r="F35" s="13">
        <v>370.55</v>
      </c>
      <c r="G35" s="13">
        <f t="shared" si="0"/>
        <v>13201.54</v>
      </c>
      <c r="H35" s="14">
        <f t="shared" si="1"/>
        <v>5049.4400000000005</v>
      </c>
    </row>
    <row r="36" spans="1:8" x14ac:dyDescent="0.35">
      <c r="A36" s="7">
        <v>45692</v>
      </c>
      <c r="B36" s="8" t="s">
        <v>16</v>
      </c>
      <c r="C36" s="8" t="s">
        <v>14</v>
      </c>
      <c r="D36" s="8">
        <v>14</v>
      </c>
      <c r="E36" s="9">
        <v>762.26</v>
      </c>
      <c r="F36" s="9">
        <v>483.95</v>
      </c>
      <c r="G36" s="9">
        <f t="shared" si="0"/>
        <v>10671.64</v>
      </c>
      <c r="H36" s="10">
        <f t="shared" si="1"/>
        <v>3896.3399999999992</v>
      </c>
    </row>
    <row r="37" spans="1:8" x14ac:dyDescent="0.35">
      <c r="A37" s="11">
        <v>45693</v>
      </c>
      <c r="B37" s="12" t="s">
        <v>16</v>
      </c>
      <c r="C37" s="12" t="s">
        <v>14</v>
      </c>
      <c r="D37" s="12">
        <v>34</v>
      </c>
      <c r="E37" s="13">
        <v>259.52999999999997</v>
      </c>
      <c r="F37" s="13">
        <v>175.19</v>
      </c>
      <c r="G37" s="13">
        <f t="shared" si="0"/>
        <v>8824.0199999999986</v>
      </c>
      <c r="H37" s="14">
        <f t="shared" si="1"/>
        <v>2867.5599999999986</v>
      </c>
    </row>
    <row r="38" spans="1:8" x14ac:dyDescent="0.35">
      <c r="A38" s="7">
        <v>45694</v>
      </c>
      <c r="B38" s="8" t="s">
        <v>10</v>
      </c>
      <c r="C38" s="8" t="s">
        <v>17</v>
      </c>
      <c r="D38" s="8">
        <v>34</v>
      </c>
      <c r="E38" s="9">
        <v>312.36</v>
      </c>
      <c r="F38" s="9">
        <v>158.82</v>
      </c>
      <c r="G38" s="9">
        <f t="shared" si="0"/>
        <v>10620.24</v>
      </c>
      <c r="H38" s="10">
        <f t="shared" si="1"/>
        <v>5220.3599999999997</v>
      </c>
    </row>
    <row r="39" spans="1:8" x14ac:dyDescent="0.35">
      <c r="A39" s="11">
        <v>45695</v>
      </c>
      <c r="B39" s="12" t="s">
        <v>16</v>
      </c>
      <c r="C39" s="12" t="s">
        <v>11</v>
      </c>
      <c r="D39" s="12">
        <v>15</v>
      </c>
      <c r="E39" s="13">
        <v>502.19</v>
      </c>
      <c r="F39" s="13">
        <v>364.56</v>
      </c>
      <c r="G39" s="13">
        <f t="shared" si="0"/>
        <v>7532.85</v>
      </c>
      <c r="H39" s="14">
        <f t="shared" si="1"/>
        <v>2064.4500000000007</v>
      </c>
    </row>
    <row r="40" spans="1:8" x14ac:dyDescent="0.35">
      <c r="A40" s="7">
        <v>45696</v>
      </c>
      <c r="B40" s="8" t="s">
        <v>16</v>
      </c>
      <c r="C40" s="8" t="s">
        <v>19</v>
      </c>
      <c r="D40" s="8">
        <v>26</v>
      </c>
      <c r="E40" s="9">
        <v>599.70000000000005</v>
      </c>
      <c r="F40" s="9">
        <v>317.45999999999998</v>
      </c>
      <c r="G40" s="9">
        <f t="shared" si="0"/>
        <v>15592.2</v>
      </c>
      <c r="H40" s="10">
        <f t="shared" si="1"/>
        <v>7338.2400000000016</v>
      </c>
    </row>
    <row r="41" spans="1:8" x14ac:dyDescent="0.35">
      <c r="A41" s="11">
        <v>45697</v>
      </c>
      <c r="B41" s="12" t="s">
        <v>13</v>
      </c>
      <c r="C41" s="12" t="s">
        <v>11</v>
      </c>
      <c r="D41" s="12">
        <v>2</v>
      </c>
      <c r="E41" s="13">
        <v>791.99</v>
      </c>
      <c r="F41" s="13">
        <v>575.41</v>
      </c>
      <c r="G41" s="13">
        <f t="shared" si="0"/>
        <v>1583.98</v>
      </c>
      <c r="H41" s="14">
        <f t="shared" si="1"/>
        <v>433.16000000000008</v>
      </c>
    </row>
    <row r="42" spans="1:8" x14ac:dyDescent="0.35">
      <c r="A42" s="7">
        <v>45698</v>
      </c>
      <c r="B42" s="8" t="s">
        <v>13</v>
      </c>
      <c r="C42" s="8" t="s">
        <v>17</v>
      </c>
      <c r="D42" s="8">
        <v>13</v>
      </c>
      <c r="E42" s="9">
        <v>563.24</v>
      </c>
      <c r="F42" s="9">
        <v>442.02</v>
      </c>
      <c r="G42" s="9">
        <f t="shared" si="0"/>
        <v>7322.12</v>
      </c>
      <c r="H42" s="10">
        <f t="shared" si="1"/>
        <v>1575.8599999999997</v>
      </c>
    </row>
    <row r="43" spans="1:8" x14ac:dyDescent="0.35">
      <c r="A43" s="11">
        <v>45699</v>
      </c>
      <c r="B43" s="12" t="s">
        <v>13</v>
      </c>
      <c r="C43" s="12" t="s">
        <v>11</v>
      </c>
      <c r="D43" s="12">
        <v>24</v>
      </c>
      <c r="E43" s="13">
        <v>92.01</v>
      </c>
      <c r="F43" s="13">
        <v>44.69</v>
      </c>
      <c r="G43" s="13">
        <f t="shared" si="0"/>
        <v>2208.2400000000002</v>
      </c>
      <c r="H43" s="14">
        <f t="shared" si="1"/>
        <v>1135.6800000000003</v>
      </c>
    </row>
    <row r="44" spans="1:8" x14ac:dyDescent="0.35">
      <c r="A44" s="7">
        <v>45700</v>
      </c>
      <c r="B44" s="8" t="s">
        <v>13</v>
      </c>
      <c r="C44" s="8" t="s">
        <v>19</v>
      </c>
      <c r="D44" s="8">
        <v>22</v>
      </c>
      <c r="E44" s="9">
        <v>187.37</v>
      </c>
      <c r="F44" s="9">
        <v>125.24</v>
      </c>
      <c r="G44" s="9">
        <f t="shared" si="0"/>
        <v>4122.1400000000003</v>
      </c>
      <c r="H44" s="10">
        <f t="shared" si="1"/>
        <v>1366.8600000000006</v>
      </c>
    </row>
    <row r="45" spans="1:8" x14ac:dyDescent="0.35">
      <c r="A45" s="11">
        <v>45701</v>
      </c>
      <c r="B45" s="12" t="s">
        <v>10</v>
      </c>
      <c r="C45" s="12" t="s">
        <v>18</v>
      </c>
      <c r="D45" s="12">
        <v>23</v>
      </c>
      <c r="E45" s="13">
        <v>645.73</v>
      </c>
      <c r="F45" s="13">
        <v>309.74</v>
      </c>
      <c r="G45" s="13">
        <f t="shared" si="0"/>
        <v>14851.79</v>
      </c>
      <c r="H45" s="14">
        <f t="shared" si="1"/>
        <v>7727.77</v>
      </c>
    </row>
    <row r="46" spans="1:8" x14ac:dyDescent="0.35">
      <c r="A46" s="7">
        <v>45702</v>
      </c>
      <c r="B46" s="8" t="s">
        <v>10</v>
      </c>
      <c r="C46" s="8" t="s">
        <v>15</v>
      </c>
      <c r="D46" s="8">
        <v>13</v>
      </c>
      <c r="E46" s="9">
        <v>398.09</v>
      </c>
      <c r="F46" s="9">
        <v>204.01</v>
      </c>
      <c r="G46" s="9">
        <f t="shared" si="0"/>
        <v>5175.17</v>
      </c>
      <c r="H46" s="10">
        <f t="shared" si="1"/>
        <v>2523.04</v>
      </c>
    </row>
    <row r="47" spans="1:8" x14ac:dyDescent="0.35">
      <c r="A47" s="11">
        <v>45703</v>
      </c>
      <c r="B47" s="12" t="s">
        <v>8</v>
      </c>
      <c r="C47" s="12" t="s">
        <v>12</v>
      </c>
      <c r="D47" s="12">
        <v>26</v>
      </c>
      <c r="E47" s="13">
        <v>386.63</v>
      </c>
      <c r="F47" s="13">
        <v>274.57</v>
      </c>
      <c r="G47" s="13">
        <f t="shared" si="0"/>
        <v>10052.379999999999</v>
      </c>
      <c r="H47" s="14">
        <f t="shared" si="1"/>
        <v>2913.5599999999995</v>
      </c>
    </row>
    <row r="48" spans="1:8" x14ac:dyDescent="0.35">
      <c r="A48" s="7">
        <v>45704</v>
      </c>
      <c r="B48" s="8" t="s">
        <v>10</v>
      </c>
      <c r="C48" s="8" t="s">
        <v>9</v>
      </c>
      <c r="D48" s="8">
        <v>11</v>
      </c>
      <c r="E48" s="9">
        <v>794.7</v>
      </c>
      <c r="F48" s="9">
        <v>365.28</v>
      </c>
      <c r="G48" s="9">
        <f t="shared" si="0"/>
        <v>8741.7000000000007</v>
      </c>
      <c r="H48" s="10">
        <f t="shared" si="1"/>
        <v>4723.6200000000008</v>
      </c>
    </row>
    <row r="49" spans="1:8" x14ac:dyDescent="0.35">
      <c r="A49" s="11">
        <v>45705</v>
      </c>
      <c r="B49" s="12" t="s">
        <v>13</v>
      </c>
      <c r="C49" s="12" t="s">
        <v>9</v>
      </c>
      <c r="D49" s="12">
        <v>40</v>
      </c>
      <c r="E49" s="13">
        <v>666.41</v>
      </c>
      <c r="F49" s="13">
        <v>528.53</v>
      </c>
      <c r="G49" s="13">
        <f t="shared" si="0"/>
        <v>26656.399999999998</v>
      </c>
      <c r="H49" s="14">
        <f t="shared" si="1"/>
        <v>5515.2000000000007</v>
      </c>
    </row>
    <row r="50" spans="1:8" x14ac:dyDescent="0.35">
      <c r="A50" s="7">
        <v>45706</v>
      </c>
      <c r="B50" s="8" t="s">
        <v>8</v>
      </c>
      <c r="C50" s="8" t="s">
        <v>9</v>
      </c>
      <c r="D50" s="8">
        <v>36</v>
      </c>
      <c r="E50" s="9">
        <v>452.18</v>
      </c>
      <c r="F50" s="9">
        <v>206.87</v>
      </c>
      <c r="G50" s="9">
        <f t="shared" si="0"/>
        <v>16278.48</v>
      </c>
      <c r="H50" s="10">
        <f t="shared" si="1"/>
        <v>8831.16</v>
      </c>
    </row>
    <row r="51" spans="1:8" x14ac:dyDescent="0.35">
      <c r="A51" s="11">
        <v>45707</v>
      </c>
      <c r="B51" s="12" t="s">
        <v>10</v>
      </c>
      <c r="C51" s="12" t="s">
        <v>9</v>
      </c>
      <c r="D51" s="12">
        <v>28</v>
      </c>
      <c r="E51" s="13">
        <v>789.64</v>
      </c>
      <c r="F51" s="13">
        <v>409.18</v>
      </c>
      <c r="G51" s="13">
        <f t="shared" si="0"/>
        <v>22109.919999999998</v>
      </c>
      <c r="H51" s="14">
        <f t="shared" si="1"/>
        <v>10652.879999999997</v>
      </c>
    </row>
    <row r="52" spans="1:8" x14ac:dyDescent="0.35">
      <c r="A52" s="7">
        <v>45708</v>
      </c>
      <c r="B52" s="8" t="s">
        <v>16</v>
      </c>
      <c r="C52" s="8" t="s">
        <v>14</v>
      </c>
      <c r="D52" s="8">
        <v>17</v>
      </c>
      <c r="E52" s="9">
        <v>193.84</v>
      </c>
      <c r="F52" s="9">
        <v>121.23</v>
      </c>
      <c r="G52" s="9">
        <f t="shared" si="0"/>
        <v>3295.28</v>
      </c>
      <c r="H52" s="10">
        <f t="shared" si="1"/>
        <v>1234.3700000000003</v>
      </c>
    </row>
    <row r="53" spans="1:8" x14ac:dyDescent="0.35">
      <c r="A53" s="11">
        <v>45709</v>
      </c>
      <c r="B53" s="12" t="s">
        <v>8</v>
      </c>
      <c r="C53" s="12" t="s">
        <v>17</v>
      </c>
      <c r="D53" s="12">
        <v>35</v>
      </c>
      <c r="E53" s="13">
        <v>352.64</v>
      </c>
      <c r="F53" s="13">
        <v>174.87</v>
      </c>
      <c r="G53" s="13">
        <f t="shared" si="0"/>
        <v>12342.4</v>
      </c>
      <c r="H53" s="14">
        <f t="shared" si="1"/>
        <v>6221.95</v>
      </c>
    </row>
    <row r="54" spans="1:8" x14ac:dyDescent="0.35">
      <c r="A54" s="7">
        <v>45710</v>
      </c>
      <c r="B54" s="8" t="s">
        <v>8</v>
      </c>
      <c r="C54" s="8" t="s">
        <v>18</v>
      </c>
      <c r="D54" s="8">
        <v>38</v>
      </c>
      <c r="E54" s="9">
        <v>657.59</v>
      </c>
      <c r="F54" s="9">
        <v>414.85</v>
      </c>
      <c r="G54" s="9">
        <f t="shared" si="0"/>
        <v>24988.420000000002</v>
      </c>
      <c r="H54" s="10">
        <f t="shared" si="1"/>
        <v>9224.1200000000008</v>
      </c>
    </row>
    <row r="55" spans="1:8" x14ac:dyDescent="0.35">
      <c r="A55" s="11">
        <v>45711</v>
      </c>
      <c r="B55" s="12" t="s">
        <v>16</v>
      </c>
      <c r="C55" s="12" t="s">
        <v>9</v>
      </c>
      <c r="D55" s="12">
        <v>34</v>
      </c>
      <c r="E55" s="13">
        <v>423.12</v>
      </c>
      <c r="F55" s="13">
        <v>319.66000000000003</v>
      </c>
      <c r="G55" s="13">
        <f t="shared" si="0"/>
        <v>14386.08</v>
      </c>
      <c r="H55" s="14">
        <f t="shared" si="1"/>
        <v>3517.6399999999994</v>
      </c>
    </row>
    <row r="56" spans="1:8" x14ac:dyDescent="0.35">
      <c r="A56" s="7">
        <v>45712</v>
      </c>
      <c r="B56" s="8" t="s">
        <v>16</v>
      </c>
      <c r="C56" s="8" t="s">
        <v>14</v>
      </c>
      <c r="D56" s="8">
        <v>10</v>
      </c>
      <c r="E56" s="9">
        <v>162.71</v>
      </c>
      <c r="F56" s="9">
        <v>100.18</v>
      </c>
      <c r="G56" s="9">
        <f t="shared" si="0"/>
        <v>1627.1000000000001</v>
      </c>
      <c r="H56" s="10">
        <f t="shared" si="1"/>
        <v>625.30000000000007</v>
      </c>
    </row>
    <row r="57" spans="1:8" x14ac:dyDescent="0.35">
      <c r="A57" s="11">
        <v>45713</v>
      </c>
      <c r="B57" s="12" t="s">
        <v>10</v>
      </c>
      <c r="C57" s="12" t="s">
        <v>14</v>
      </c>
      <c r="D57" s="12">
        <v>21</v>
      </c>
      <c r="E57" s="13">
        <v>555.4</v>
      </c>
      <c r="F57" s="13">
        <v>353.1</v>
      </c>
      <c r="G57" s="13">
        <f t="shared" si="0"/>
        <v>11663.4</v>
      </c>
      <c r="H57" s="14">
        <f t="shared" si="1"/>
        <v>4248.2999999999993</v>
      </c>
    </row>
    <row r="58" spans="1:8" x14ac:dyDescent="0.35">
      <c r="A58" s="7">
        <v>45714</v>
      </c>
      <c r="B58" s="8" t="s">
        <v>13</v>
      </c>
      <c r="C58" s="8" t="s">
        <v>12</v>
      </c>
      <c r="D58" s="8">
        <v>36</v>
      </c>
      <c r="E58" s="9">
        <v>73.75</v>
      </c>
      <c r="F58" s="9">
        <v>38.130000000000003</v>
      </c>
      <c r="G58" s="9">
        <f t="shared" si="0"/>
        <v>2655</v>
      </c>
      <c r="H58" s="10">
        <f t="shared" si="1"/>
        <v>1282.32</v>
      </c>
    </row>
    <row r="59" spans="1:8" x14ac:dyDescent="0.35">
      <c r="A59" s="11">
        <v>45715</v>
      </c>
      <c r="B59" s="12" t="s">
        <v>10</v>
      </c>
      <c r="C59" s="12" t="s">
        <v>12</v>
      </c>
      <c r="D59" s="12">
        <v>33</v>
      </c>
      <c r="E59" s="13">
        <v>378.18</v>
      </c>
      <c r="F59" s="13">
        <v>173.87</v>
      </c>
      <c r="G59" s="13">
        <f t="shared" si="0"/>
        <v>12479.94</v>
      </c>
      <c r="H59" s="14">
        <f t="shared" si="1"/>
        <v>6742.2300000000005</v>
      </c>
    </row>
    <row r="60" spans="1:8" x14ac:dyDescent="0.35">
      <c r="A60" s="7">
        <v>45716</v>
      </c>
      <c r="B60" s="8" t="s">
        <v>10</v>
      </c>
      <c r="C60" s="8" t="s">
        <v>18</v>
      </c>
      <c r="D60" s="8">
        <v>21</v>
      </c>
      <c r="E60" s="9">
        <v>501.65</v>
      </c>
      <c r="F60" s="9">
        <v>314.51</v>
      </c>
      <c r="G60" s="9">
        <f t="shared" si="0"/>
        <v>10534.65</v>
      </c>
      <c r="H60" s="10">
        <f t="shared" si="1"/>
        <v>3929.9399999999996</v>
      </c>
    </row>
    <row r="61" spans="1:8" x14ac:dyDescent="0.35">
      <c r="A61" s="11">
        <v>45717</v>
      </c>
      <c r="B61" s="12" t="s">
        <v>16</v>
      </c>
      <c r="C61" s="12" t="s">
        <v>17</v>
      </c>
      <c r="D61" s="12">
        <v>29</v>
      </c>
      <c r="E61" s="13">
        <v>421.28</v>
      </c>
      <c r="F61" s="13">
        <v>308.62</v>
      </c>
      <c r="G61" s="13">
        <f t="shared" si="0"/>
        <v>12217.119999999999</v>
      </c>
      <c r="H61" s="14">
        <f t="shared" si="1"/>
        <v>3267.1399999999994</v>
      </c>
    </row>
    <row r="62" spans="1:8" x14ac:dyDescent="0.35">
      <c r="A62" s="7">
        <v>45718</v>
      </c>
      <c r="B62" s="8" t="s">
        <v>16</v>
      </c>
      <c r="C62" s="8" t="s">
        <v>17</v>
      </c>
      <c r="D62" s="8">
        <v>36</v>
      </c>
      <c r="E62" s="9">
        <v>717.42</v>
      </c>
      <c r="F62" s="9">
        <v>373.71</v>
      </c>
      <c r="G62" s="9">
        <f t="shared" si="0"/>
        <v>25827.119999999999</v>
      </c>
      <c r="H62" s="10">
        <f t="shared" si="1"/>
        <v>12373.56</v>
      </c>
    </row>
    <row r="63" spans="1:8" x14ac:dyDescent="0.35">
      <c r="A63" s="11">
        <v>45719</v>
      </c>
      <c r="B63" s="12" t="s">
        <v>13</v>
      </c>
      <c r="C63" s="12" t="s">
        <v>9</v>
      </c>
      <c r="D63" s="12">
        <v>27</v>
      </c>
      <c r="E63" s="13">
        <v>123.65</v>
      </c>
      <c r="F63" s="13">
        <v>74.78</v>
      </c>
      <c r="G63" s="13">
        <f t="shared" si="0"/>
        <v>3338.55</v>
      </c>
      <c r="H63" s="14">
        <f t="shared" si="1"/>
        <v>1319.4900000000002</v>
      </c>
    </row>
    <row r="64" spans="1:8" x14ac:dyDescent="0.35">
      <c r="A64" s="7">
        <v>45720</v>
      </c>
      <c r="B64" s="8" t="s">
        <v>10</v>
      </c>
      <c r="C64" s="8" t="s">
        <v>19</v>
      </c>
      <c r="D64" s="8">
        <v>28</v>
      </c>
      <c r="E64" s="9">
        <v>86.3</v>
      </c>
      <c r="F64" s="9">
        <v>59.06</v>
      </c>
      <c r="G64" s="9">
        <f t="shared" si="0"/>
        <v>2416.4</v>
      </c>
      <c r="H64" s="10">
        <f t="shared" si="1"/>
        <v>762.72</v>
      </c>
    </row>
    <row r="65" spans="1:8" x14ac:dyDescent="0.35">
      <c r="A65" s="11">
        <v>45721</v>
      </c>
      <c r="B65" s="12" t="s">
        <v>10</v>
      </c>
      <c r="C65" s="12" t="s">
        <v>9</v>
      </c>
      <c r="D65" s="12">
        <v>24</v>
      </c>
      <c r="E65" s="13">
        <v>140.09</v>
      </c>
      <c r="F65" s="13">
        <v>106.33</v>
      </c>
      <c r="G65" s="13">
        <f t="shared" si="0"/>
        <v>3362.16</v>
      </c>
      <c r="H65" s="14">
        <f t="shared" si="1"/>
        <v>810.23999999999978</v>
      </c>
    </row>
    <row r="66" spans="1:8" x14ac:dyDescent="0.35">
      <c r="A66" s="7">
        <v>45722</v>
      </c>
      <c r="B66" s="8" t="s">
        <v>13</v>
      </c>
      <c r="C66" s="8" t="s">
        <v>19</v>
      </c>
      <c r="D66" s="8">
        <v>7</v>
      </c>
      <c r="E66" s="9">
        <v>336.66</v>
      </c>
      <c r="F66" s="9">
        <v>208.91</v>
      </c>
      <c r="G66" s="9">
        <f t="shared" ref="G66:G129" si="2">D66*E66</f>
        <v>2356.6200000000003</v>
      </c>
      <c r="H66" s="10">
        <f t="shared" ref="H66:H129" si="3">G66-D66*F66</f>
        <v>894.25000000000045</v>
      </c>
    </row>
    <row r="67" spans="1:8" x14ac:dyDescent="0.35">
      <c r="A67" s="11">
        <v>45723</v>
      </c>
      <c r="B67" s="12" t="s">
        <v>16</v>
      </c>
      <c r="C67" s="12" t="s">
        <v>9</v>
      </c>
      <c r="D67" s="12">
        <v>28</v>
      </c>
      <c r="E67" s="13">
        <v>795.44</v>
      </c>
      <c r="F67" s="13">
        <v>470.37</v>
      </c>
      <c r="G67" s="13">
        <f t="shared" si="2"/>
        <v>22272.32</v>
      </c>
      <c r="H67" s="14">
        <f t="shared" si="3"/>
        <v>9101.9599999999991</v>
      </c>
    </row>
    <row r="68" spans="1:8" x14ac:dyDescent="0.35">
      <c r="A68" s="7">
        <v>45724</v>
      </c>
      <c r="B68" s="8" t="s">
        <v>13</v>
      </c>
      <c r="C68" s="8" t="s">
        <v>19</v>
      </c>
      <c r="D68" s="8">
        <v>23</v>
      </c>
      <c r="E68" s="9">
        <v>275.26</v>
      </c>
      <c r="F68" s="9">
        <v>193.44</v>
      </c>
      <c r="G68" s="9">
        <f t="shared" si="2"/>
        <v>6330.98</v>
      </c>
      <c r="H68" s="10">
        <f t="shared" si="3"/>
        <v>1881.8599999999997</v>
      </c>
    </row>
    <row r="69" spans="1:8" x14ac:dyDescent="0.35">
      <c r="A69" s="11">
        <v>45725</v>
      </c>
      <c r="B69" s="12" t="s">
        <v>10</v>
      </c>
      <c r="C69" s="12" t="s">
        <v>11</v>
      </c>
      <c r="D69" s="12">
        <v>36</v>
      </c>
      <c r="E69" s="13">
        <v>383.18</v>
      </c>
      <c r="F69" s="13">
        <v>266.73</v>
      </c>
      <c r="G69" s="13">
        <f t="shared" si="2"/>
        <v>13794.48</v>
      </c>
      <c r="H69" s="14">
        <f t="shared" si="3"/>
        <v>4192.1999999999989</v>
      </c>
    </row>
    <row r="70" spans="1:8" x14ac:dyDescent="0.35">
      <c r="A70" s="7">
        <v>45726</v>
      </c>
      <c r="B70" s="8" t="s">
        <v>13</v>
      </c>
      <c r="C70" s="8" t="s">
        <v>11</v>
      </c>
      <c r="D70" s="8">
        <v>34</v>
      </c>
      <c r="E70" s="9">
        <v>510.42</v>
      </c>
      <c r="F70" s="9">
        <v>321.2</v>
      </c>
      <c r="G70" s="9">
        <f t="shared" si="2"/>
        <v>17354.28</v>
      </c>
      <c r="H70" s="10">
        <f t="shared" si="3"/>
        <v>6433.48</v>
      </c>
    </row>
    <row r="71" spans="1:8" x14ac:dyDescent="0.35">
      <c r="A71" s="11">
        <v>45727</v>
      </c>
      <c r="B71" s="12" t="s">
        <v>10</v>
      </c>
      <c r="C71" s="12" t="s">
        <v>12</v>
      </c>
      <c r="D71" s="12">
        <v>15</v>
      </c>
      <c r="E71" s="13">
        <v>778.21</v>
      </c>
      <c r="F71" s="13">
        <v>378.73</v>
      </c>
      <c r="G71" s="13">
        <f t="shared" si="2"/>
        <v>11673.150000000001</v>
      </c>
      <c r="H71" s="14">
        <f t="shared" si="3"/>
        <v>5992.2000000000007</v>
      </c>
    </row>
    <row r="72" spans="1:8" x14ac:dyDescent="0.35">
      <c r="A72" s="7">
        <v>45728</v>
      </c>
      <c r="B72" s="8" t="s">
        <v>8</v>
      </c>
      <c r="C72" s="8" t="s">
        <v>17</v>
      </c>
      <c r="D72" s="8">
        <v>3</v>
      </c>
      <c r="E72" s="9">
        <v>727.54</v>
      </c>
      <c r="F72" s="9">
        <v>373.62</v>
      </c>
      <c r="G72" s="9">
        <f t="shared" si="2"/>
        <v>2182.62</v>
      </c>
      <c r="H72" s="10">
        <f t="shared" si="3"/>
        <v>1061.7599999999998</v>
      </c>
    </row>
    <row r="73" spans="1:8" x14ac:dyDescent="0.35">
      <c r="A73" s="11">
        <v>45729</v>
      </c>
      <c r="B73" s="12" t="s">
        <v>16</v>
      </c>
      <c r="C73" s="12" t="s">
        <v>15</v>
      </c>
      <c r="D73" s="12">
        <v>17</v>
      </c>
      <c r="E73" s="13">
        <v>342.58</v>
      </c>
      <c r="F73" s="13">
        <v>218.5</v>
      </c>
      <c r="G73" s="13">
        <f t="shared" si="2"/>
        <v>5823.86</v>
      </c>
      <c r="H73" s="14">
        <f t="shared" si="3"/>
        <v>2109.3599999999997</v>
      </c>
    </row>
    <row r="74" spans="1:8" x14ac:dyDescent="0.35">
      <c r="A74" s="7">
        <v>45730</v>
      </c>
      <c r="B74" s="8" t="s">
        <v>13</v>
      </c>
      <c r="C74" s="8" t="s">
        <v>11</v>
      </c>
      <c r="D74" s="8">
        <v>6</v>
      </c>
      <c r="E74" s="9">
        <v>244.88</v>
      </c>
      <c r="F74" s="9">
        <v>178.73</v>
      </c>
      <c r="G74" s="9">
        <f t="shared" si="2"/>
        <v>1469.28</v>
      </c>
      <c r="H74" s="10">
        <f t="shared" si="3"/>
        <v>396.90000000000009</v>
      </c>
    </row>
    <row r="75" spans="1:8" x14ac:dyDescent="0.35">
      <c r="A75" s="11">
        <v>45731</v>
      </c>
      <c r="B75" s="12" t="s">
        <v>16</v>
      </c>
      <c r="C75" s="12" t="s">
        <v>15</v>
      </c>
      <c r="D75" s="12">
        <v>5</v>
      </c>
      <c r="E75" s="13">
        <v>237.07</v>
      </c>
      <c r="F75" s="13">
        <v>108.08</v>
      </c>
      <c r="G75" s="13">
        <f t="shared" si="2"/>
        <v>1185.3499999999999</v>
      </c>
      <c r="H75" s="14">
        <f t="shared" si="3"/>
        <v>644.94999999999993</v>
      </c>
    </row>
    <row r="76" spans="1:8" x14ac:dyDescent="0.35">
      <c r="A76" s="7">
        <v>45732</v>
      </c>
      <c r="B76" s="8" t="s">
        <v>10</v>
      </c>
      <c r="C76" s="8" t="s">
        <v>17</v>
      </c>
      <c r="D76" s="8">
        <v>6</v>
      </c>
      <c r="E76" s="9">
        <v>498.3</v>
      </c>
      <c r="F76" s="9">
        <v>263.02</v>
      </c>
      <c r="G76" s="9">
        <f t="shared" si="2"/>
        <v>2989.8</v>
      </c>
      <c r="H76" s="10">
        <f t="shared" si="3"/>
        <v>1411.6800000000003</v>
      </c>
    </row>
    <row r="77" spans="1:8" x14ac:dyDescent="0.35">
      <c r="A77" s="11">
        <v>45733</v>
      </c>
      <c r="B77" s="12" t="s">
        <v>8</v>
      </c>
      <c r="C77" s="12" t="s">
        <v>12</v>
      </c>
      <c r="D77" s="12">
        <v>30</v>
      </c>
      <c r="E77" s="13">
        <v>38.89</v>
      </c>
      <c r="F77" s="13">
        <v>31.03</v>
      </c>
      <c r="G77" s="13">
        <f t="shared" si="2"/>
        <v>1166.7</v>
      </c>
      <c r="H77" s="14">
        <f t="shared" si="3"/>
        <v>235.79999999999995</v>
      </c>
    </row>
    <row r="78" spans="1:8" x14ac:dyDescent="0.35">
      <c r="A78" s="7">
        <v>45734</v>
      </c>
      <c r="B78" s="8" t="s">
        <v>13</v>
      </c>
      <c r="C78" s="8" t="s">
        <v>17</v>
      </c>
      <c r="D78" s="8">
        <v>40</v>
      </c>
      <c r="E78" s="9">
        <v>129.5</v>
      </c>
      <c r="F78" s="9">
        <v>82.16</v>
      </c>
      <c r="G78" s="9">
        <f t="shared" si="2"/>
        <v>5180</v>
      </c>
      <c r="H78" s="10">
        <f t="shared" si="3"/>
        <v>1893.6000000000004</v>
      </c>
    </row>
    <row r="79" spans="1:8" x14ac:dyDescent="0.35">
      <c r="A79" s="11">
        <v>45735</v>
      </c>
      <c r="B79" s="12" t="s">
        <v>16</v>
      </c>
      <c r="C79" s="12" t="s">
        <v>12</v>
      </c>
      <c r="D79" s="12">
        <v>11</v>
      </c>
      <c r="E79" s="13">
        <v>231.66</v>
      </c>
      <c r="F79" s="13">
        <v>118.93</v>
      </c>
      <c r="G79" s="13">
        <f t="shared" si="2"/>
        <v>2548.2599999999998</v>
      </c>
      <c r="H79" s="14">
        <f t="shared" si="3"/>
        <v>1240.0299999999997</v>
      </c>
    </row>
    <row r="80" spans="1:8" x14ac:dyDescent="0.35">
      <c r="A80" s="7">
        <v>45736</v>
      </c>
      <c r="B80" s="8" t="s">
        <v>8</v>
      </c>
      <c r="C80" s="8" t="s">
        <v>17</v>
      </c>
      <c r="D80" s="8">
        <v>34</v>
      </c>
      <c r="E80" s="9">
        <v>614.80999999999995</v>
      </c>
      <c r="F80" s="9">
        <v>339.06</v>
      </c>
      <c r="G80" s="9">
        <f t="shared" si="2"/>
        <v>20903.539999999997</v>
      </c>
      <c r="H80" s="10">
        <f t="shared" si="3"/>
        <v>9375.4999999999964</v>
      </c>
    </row>
    <row r="81" spans="1:8" x14ac:dyDescent="0.35">
      <c r="A81" s="11">
        <v>45737</v>
      </c>
      <c r="B81" s="12" t="s">
        <v>16</v>
      </c>
      <c r="C81" s="12" t="s">
        <v>17</v>
      </c>
      <c r="D81" s="12">
        <v>23</v>
      </c>
      <c r="E81" s="13">
        <v>648.83000000000004</v>
      </c>
      <c r="F81" s="13">
        <v>517.80999999999995</v>
      </c>
      <c r="G81" s="13">
        <f t="shared" si="2"/>
        <v>14923.09</v>
      </c>
      <c r="H81" s="14">
        <f t="shared" si="3"/>
        <v>3013.4600000000009</v>
      </c>
    </row>
    <row r="82" spans="1:8" x14ac:dyDescent="0.35">
      <c r="A82" s="7">
        <v>45738</v>
      </c>
      <c r="B82" s="8" t="s">
        <v>10</v>
      </c>
      <c r="C82" s="8" t="s">
        <v>14</v>
      </c>
      <c r="D82" s="8">
        <v>2</v>
      </c>
      <c r="E82" s="9">
        <v>594.47</v>
      </c>
      <c r="F82" s="9">
        <v>382.17</v>
      </c>
      <c r="G82" s="9">
        <f t="shared" si="2"/>
        <v>1188.94</v>
      </c>
      <c r="H82" s="10">
        <f t="shared" si="3"/>
        <v>424.6</v>
      </c>
    </row>
    <row r="83" spans="1:8" x14ac:dyDescent="0.35">
      <c r="A83" s="11">
        <v>45739</v>
      </c>
      <c r="B83" s="12" t="s">
        <v>16</v>
      </c>
      <c r="C83" s="12" t="s">
        <v>18</v>
      </c>
      <c r="D83" s="12">
        <v>16</v>
      </c>
      <c r="E83" s="13">
        <v>749.67</v>
      </c>
      <c r="F83" s="13">
        <v>365.24</v>
      </c>
      <c r="G83" s="13">
        <f t="shared" si="2"/>
        <v>11994.72</v>
      </c>
      <c r="H83" s="14">
        <f t="shared" si="3"/>
        <v>6150.8799999999992</v>
      </c>
    </row>
    <row r="84" spans="1:8" x14ac:dyDescent="0.35">
      <c r="A84" s="7">
        <v>45740</v>
      </c>
      <c r="B84" s="8" t="s">
        <v>13</v>
      </c>
      <c r="C84" s="8" t="s">
        <v>18</v>
      </c>
      <c r="D84" s="8">
        <v>35</v>
      </c>
      <c r="E84" s="9">
        <v>672.65</v>
      </c>
      <c r="F84" s="9">
        <v>395.24</v>
      </c>
      <c r="G84" s="9">
        <f t="shared" si="2"/>
        <v>23542.75</v>
      </c>
      <c r="H84" s="10">
        <f t="shared" si="3"/>
        <v>9709.35</v>
      </c>
    </row>
    <row r="85" spans="1:8" x14ac:dyDescent="0.35">
      <c r="A85" s="11">
        <v>45741</v>
      </c>
      <c r="B85" s="12" t="s">
        <v>8</v>
      </c>
      <c r="C85" s="12" t="s">
        <v>19</v>
      </c>
      <c r="D85" s="12">
        <v>15</v>
      </c>
      <c r="E85" s="13">
        <v>293.88</v>
      </c>
      <c r="F85" s="13">
        <v>217.85</v>
      </c>
      <c r="G85" s="13">
        <f t="shared" si="2"/>
        <v>4408.2</v>
      </c>
      <c r="H85" s="14">
        <f t="shared" si="3"/>
        <v>1140.4499999999998</v>
      </c>
    </row>
    <row r="86" spans="1:8" x14ac:dyDescent="0.35">
      <c r="A86" s="7">
        <v>45742</v>
      </c>
      <c r="B86" s="8" t="s">
        <v>16</v>
      </c>
      <c r="C86" s="8" t="s">
        <v>15</v>
      </c>
      <c r="D86" s="8">
        <v>23</v>
      </c>
      <c r="E86" s="9">
        <v>786.05</v>
      </c>
      <c r="F86" s="9">
        <v>583.99</v>
      </c>
      <c r="G86" s="9">
        <f t="shared" si="2"/>
        <v>18079.149999999998</v>
      </c>
      <c r="H86" s="10">
        <f t="shared" si="3"/>
        <v>4647.3799999999974</v>
      </c>
    </row>
    <row r="87" spans="1:8" x14ac:dyDescent="0.35">
      <c r="A87" s="11">
        <v>45743</v>
      </c>
      <c r="B87" s="12" t="s">
        <v>10</v>
      </c>
      <c r="C87" s="12" t="s">
        <v>12</v>
      </c>
      <c r="D87" s="12">
        <v>17</v>
      </c>
      <c r="E87" s="13">
        <v>361.67</v>
      </c>
      <c r="F87" s="13">
        <v>169.76</v>
      </c>
      <c r="G87" s="13">
        <f t="shared" si="2"/>
        <v>6148.39</v>
      </c>
      <c r="H87" s="14">
        <f t="shared" si="3"/>
        <v>3262.4700000000003</v>
      </c>
    </row>
    <row r="88" spans="1:8" x14ac:dyDescent="0.35">
      <c r="A88" s="7">
        <v>45744</v>
      </c>
      <c r="B88" s="8" t="s">
        <v>13</v>
      </c>
      <c r="C88" s="8" t="s">
        <v>17</v>
      </c>
      <c r="D88" s="8">
        <v>39</v>
      </c>
      <c r="E88" s="9">
        <v>216.5</v>
      </c>
      <c r="F88" s="9">
        <v>119.63</v>
      </c>
      <c r="G88" s="9">
        <f t="shared" si="2"/>
        <v>8443.5</v>
      </c>
      <c r="H88" s="10">
        <f t="shared" si="3"/>
        <v>3777.9300000000003</v>
      </c>
    </row>
    <row r="89" spans="1:8" x14ac:dyDescent="0.35">
      <c r="A89" s="11">
        <v>45745</v>
      </c>
      <c r="B89" s="12" t="s">
        <v>13</v>
      </c>
      <c r="C89" s="12" t="s">
        <v>9</v>
      </c>
      <c r="D89" s="12">
        <v>11</v>
      </c>
      <c r="E89" s="13">
        <v>237.16</v>
      </c>
      <c r="F89" s="13">
        <v>107.02</v>
      </c>
      <c r="G89" s="13">
        <f t="shared" si="2"/>
        <v>2608.7599999999998</v>
      </c>
      <c r="H89" s="14">
        <f t="shared" si="3"/>
        <v>1431.5399999999997</v>
      </c>
    </row>
    <row r="90" spans="1:8" x14ac:dyDescent="0.35">
      <c r="A90" s="7">
        <v>45746</v>
      </c>
      <c r="B90" s="8" t="s">
        <v>8</v>
      </c>
      <c r="C90" s="8" t="s">
        <v>11</v>
      </c>
      <c r="D90" s="8">
        <v>36</v>
      </c>
      <c r="E90" s="9">
        <v>279.12</v>
      </c>
      <c r="F90" s="9">
        <v>128.97</v>
      </c>
      <c r="G90" s="9">
        <f t="shared" si="2"/>
        <v>10048.32</v>
      </c>
      <c r="H90" s="10">
        <f t="shared" si="3"/>
        <v>5405.4</v>
      </c>
    </row>
    <row r="91" spans="1:8" x14ac:dyDescent="0.35">
      <c r="A91" s="11">
        <v>45747</v>
      </c>
      <c r="B91" s="12" t="s">
        <v>8</v>
      </c>
      <c r="C91" s="12" t="s">
        <v>19</v>
      </c>
      <c r="D91" s="12">
        <v>23</v>
      </c>
      <c r="E91" s="13">
        <v>170.88</v>
      </c>
      <c r="F91" s="13">
        <v>96.95</v>
      </c>
      <c r="G91" s="13">
        <f t="shared" si="2"/>
        <v>3930.24</v>
      </c>
      <c r="H91" s="14">
        <f t="shared" si="3"/>
        <v>1700.3899999999999</v>
      </c>
    </row>
    <row r="92" spans="1:8" x14ac:dyDescent="0.35">
      <c r="A92" s="7">
        <v>45658</v>
      </c>
      <c r="B92" s="8" t="s">
        <v>10</v>
      </c>
      <c r="C92" s="8" t="s">
        <v>18</v>
      </c>
      <c r="D92" s="8">
        <v>18</v>
      </c>
      <c r="E92" s="9">
        <v>417.13</v>
      </c>
      <c r="F92" s="9">
        <v>217.05</v>
      </c>
      <c r="G92" s="9">
        <f t="shared" si="2"/>
        <v>7508.34</v>
      </c>
      <c r="H92" s="10">
        <f t="shared" si="3"/>
        <v>3601.44</v>
      </c>
    </row>
    <row r="93" spans="1:8" x14ac:dyDescent="0.35">
      <c r="A93" s="11">
        <v>45659</v>
      </c>
      <c r="B93" s="12" t="s">
        <v>10</v>
      </c>
      <c r="C93" s="12" t="s">
        <v>12</v>
      </c>
      <c r="D93" s="12">
        <v>17</v>
      </c>
      <c r="E93" s="13">
        <v>659.12</v>
      </c>
      <c r="F93" s="13">
        <v>329.79</v>
      </c>
      <c r="G93" s="13">
        <f t="shared" si="2"/>
        <v>11205.04</v>
      </c>
      <c r="H93" s="14">
        <f t="shared" si="3"/>
        <v>5598.6100000000006</v>
      </c>
    </row>
    <row r="94" spans="1:8" x14ac:dyDescent="0.35">
      <c r="A94" s="7">
        <v>45660</v>
      </c>
      <c r="B94" s="8" t="s">
        <v>10</v>
      </c>
      <c r="C94" s="8" t="s">
        <v>15</v>
      </c>
      <c r="D94" s="8">
        <v>2</v>
      </c>
      <c r="E94" s="9">
        <v>260.73</v>
      </c>
      <c r="F94" s="9">
        <v>174.79</v>
      </c>
      <c r="G94" s="9">
        <f t="shared" si="2"/>
        <v>521.46</v>
      </c>
      <c r="H94" s="10">
        <f t="shared" si="3"/>
        <v>171.88000000000005</v>
      </c>
    </row>
    <row r="95" spans="1:8" x14ac:dyDescent="0.35">
      <c r="A95" s="11">
        <v>45661</v>
      </c>
      <c r="B95" s="12" t="s">
        <v>10</v>
      </c>
      <c r="C95" s="12" t="s">
        <v>9</v>
      </c>
      <c r="D95" s="12">
        <v>39</v>
      </c>
      <c r="E95" s="13">
        <v>329.93</v>
      </c>
      <c r="F95" s="13">
        <v>186.13</v>
      </c>
      <c r="G95" s="13">
        <f t="shared" si="2"/>
        <v>12867.27</v>
      </c>
      <c r="H95" s="14">
        <f t="shared" si="3"/>
        <v>5608.2000000000007</v>
      </c>
    </row>
    <row r="96" spans="1:8" x14ac:dyDescent="0.35">
      <c r="A96" s="7">
        <v>45662</v>
      </c>
      <c r="B96" s="8" t="s">
        <v>13</v>
      </c>
      <c r="C96" s="8" t="s">
        <v>9</v>
      </c>
      <c r="D96" s="8">
        <v>19</v>
      </c>
      <c r="E96" s="9">
        <v>587.6</v>
      </c>
      <c r="F96" s="9">
        <v>396.7</v>
      </c>
      <c r="G96" s="9">
        <f t="shared" si="2"/>
        <v>11164.4</v>
      </c>
      <c r="H96" s="10">
        <f t="shared" si="3"/>
        <v>3627.0999999999995</v>
      </c>
    </row>
    <row r="97" spans="1:8" x14ac:dyDescent="0.35">
      <c r="A97" s="11">
        <v>45663</v>
      </c>
      <c r="B97" s="12" t="s">
        <v>10</v>
      </c>
      <c r="C97" s="12" t="s">
        <v>15</v>
      </c>
      <c r="D97" s="12">
        <v>33</v>
      </c>
      <c r="E97" s="13">
        <v>137.27000000000001</v>
      </c>
      <c r="F97" s="13">
        <v>86.94</v>
      </c>
      <c r="G97" s="13">
        <f t="shared" si="2"/>
        <v>4529.9100000000008</v>
      </c>
      <c r="H97" s="14">
        <f t="shared" si="3"/>
        <v>1660.8900000000008</v>
      </c>
    </row>
    <row r="98" spans="1:8" x14ac:dyDescent="0.35">
      <c r="A98" s="7">
        <v>45664</v>
      </c>
      <c r="B98" s="8" t="s">
        <v>10</v>
      </c>
      <c r="C98" s="8" t="s">
        <v>19</v>
      </c>
      <c r="D98" s="8">
        <v>6</v>
      </c>
      <c r="E98" s="9">
        <v>53.99</v>
      </c>
      <c r="F98" s="9">
        <v>26.81</v>
      </c>
      <c r="G98" s="9">
        <f t="shared" si="2"/>
        <v>323.94</v>
      </c>
      <c r="H98" s="10">
        <f t="shared" si="3"/>
        <v>163.08000000000001</v>
      </c>
    </row>
    <row r="99" spans="1:8" x14ac:dyDescent="0.35">
      <c r="A99" s="11">
        <v>45665</v>
      </c>
      <c r="B99" s="12" t="s">
        <v>8</v>
      </c>
      <c r="C99" s="12" t="s">
        <v>12</v>
      </c>
      <c r="D99" s="12">
        <v>25</v>
      </c>
      <c r="E99" s="13">
        <v>673.58</v>
      </c>
      <c r="F99" s="13">
        <v>434.79</v>
      </c>
      <c r="G99" s="13">
        <f t="shared" si="2"/>
        <v>16839.5</v>
      </c>
      <c r="H99" s="14">
        <f t="shared" si="3"/>
        <v>5969.75</v>
      </c>
    </row>
    <row r="100" spans="1:8" x14ac:dyDescent="0.35">
      <c r="A100" s="7">
        <v>45666</v>
      </c>
      <c r="B100" s="8" t="s">
        <v>10</v>
      </c>
      <c r="C100" s="8" t="s">
        <v>19</v>
      </c>
      <c r="D100" s="8">
        <v>32</v>
      </c>
      <c r="E100" s="9">
        <v>233.12</v>
      </c>
      <c r="F100" s="9">
        <v>142.19</v>
      </c>
      <c r="G100" s="9">
        <f t="shared" si="2"/>
        <v>7459.84</v>
      </c>
      <c r="H100" s="10">
        <f t="shared" si="3"/>
        <v>2909.76</v>
      </c>
    </row>
    <row r="101" spans="1:8" x14ac:dyDescent="0.35">
      <c r="A101" s="11">
        <v>45667</v>
      </c>
      <c r="B101" s="12" t="s">
        <v>10</v>
      </c>
      <c r="C101" s="12" t="s">
        <v>12</v>
      </c>
      <c r="D101" s="12">
        <v>34</v>
      </c>
      <c r="E101" s="13">
        <v>80.86</v>
      </c>
      <c r="F101" s="13">
        <v>57.24</v>
      </c>
      <c r="G101" s="13">
        <f t="shared" si="2"/>
        <v>2749.24</v>
      </c>
      <c r="H101" s="14">
        <f t="shared" si="3"/>
        <v>803.0799999999997</v>
      </c>
    </row>
    <row r="102" spans="1:8" x14ac:dyDescent="0.35">
      <c r="A102" s="7">
        <v>45668</v>
      </c>
      <c r="B102" s="8" t="s">
        <v>8</v>
      </c>
      <c r="C102" s="8" t="s">
        <v>12</v>
      </c>
      <c r="D102" s="8">
        <v>17</v>
      </c>
      <c r="E102" s="9">
        <v>210.78</v>
      </c>
      <c r="F102" s="9">
        <v>150.66</v>
      </c>
      <c r="G102" s="9">
        <f t="shared" si="2"/>
        <v>3583.26</v>
      </c>
      <c r="H102" s="10">
        <f t="shared" si="3"/>
        <v>1022.0400000000004</v>
      </c>
    </row>
    <row r="103" spans="1:8" x14ac:dyDescent="0.35">
      <c r="A103" s="11">
        <v>45669</v>
      </c>
      <c r="B103" s="12" t="s">
        <v>16</v>
      </c>
      <c r="C103" s="12" t="s">
        <v>18</v>
      </c>
      <c r="D103" s="12">
        <v>32</v>
      </c>
      <c r="E103" s="13">
        <v>681.06</v>
      </c>
      <c r="F103" s="13">
        <v>324.77</v>
      </c>
      <c r="G103" s="13">
        <f t="shared" si="2"/>
        <v>21793.919999999998</v>
      </c>
      <c r="H103" s="14">
        <f t="shared" si="3"/>
        <v>11401.279999999999</v>
      </c>
    </row>
    <row r="104" spans="1:8" x14ac:dyDescent="0.35">
      <c r="A104" s="7">
        <v>45670</v>
      </c>
      <c r="B104" s="8" t="s">
        <v>8</v>
      </c>
      <c r="C104" s="8" t="s">
        <v>14</v>
      </c>
      <c r="D104" s="8">
        <v>40</v>
      </c>
      <c r="E104" s="9">
        <v>517.25</v>
      </c>
      <c r="F104" s="9">
        <v>268.66000000000003</v>
      </c>
      <c r="G104" s="9">
        <f t="shared" si="2"/>
        <v>20690</v>
      </c>
      <c r="H104" s="10">
        <f t="shared" si="3"/>
        <v>9943.5999999999985</v>
      </c>
    </row>
    <row r="105" spans="1:8" x14ac:dyDescent="0.35">
      <c r="A105" s="11">
        <v>45671</v>
      </c>
      <c r="B105" s="12" t="s">
        <v>16</v>
      </c>
      <c r="C105" s="12" t="s">
        <v>11</v>
      </c>
      <c r="D105" s="12">
        <v>17</v>
      </c>
      <c r="E105" s="13">
        <v>531.67999999999995</v>
      </c>
      <c r="F105" s="13">
        <v>368.19</v>
      </c>
      <c r="G105" s="13">
        <f t="shared" si="2"/>
        <v>9038.56</v>
      </c>
      <c r="H105" s="14">
        <f t="shared" si="3"/>
        <v>2779.33</v>
      </c>
    </row>
    <row r="106" spans="1:8" x14ac:dyDescent="0.35">
      <c r="A106" s="7">
        <v>45672</v>
      </c>
      <c r="B106" s="8" t="s">
        <v>16</v>
      </c>
      <c r="C106" s="8" t="s">
        <v>14</v>
      </c>
      <c r="D106" s="8">
        <v>31</v>
      </c>
      <c r="E106" s="9">
        <v>76.709999999999994</v>
      </c>
      <c r="F106" s="9">
        <v>41.74</v>
      </c>
      <c r="G106" s="9">
        <f t="shared" si="2"/>
        <v>2378.0099999999998</v>
      </c>
      <c r="H106" s="10">
        <f t="shared" si="3"/>
        <v>1084.0699999999997</v>
      </c>
    </row>
    <row r="107" spans="1:8" x14ac:dyDescent="0.35">
      <c r="A107" s="11">
        <v>45673</v>
      </c>
      <c r="B107" s="12" t="s">
        <v>10</v>
      </c>
      <c r="C107" s="12" t="s">
        <v>19</v>
      </c>
      <c r="D107" s="12">
        <v>32</v>
      </c>
      <c r="E107" s="13">
        <v>253.96</v>
      </c>
      <c r="F107" s="13">
        <v>160.19</v>
      </c>
      <c r="G107" s="13">
        <f t="shared" si="2"/>
        <v>8126.72</v>
      </c>
      <c r="H107" s="14">
        <f t="shared" si="3"/>
        <v>3000.6400000000003</v>
      </c>
    </row>
    <row r="108" spans="1:8" x14ac:dyDescent="0.35">
      <c r="A108" s="7">
        <v>45674</v>
      </c>
      <c r="B108" s="8" t="s">
        <v>13</v>
      </c>
      <c r="C108" s="8" t="s">
        <v>18</v>
      </c>
      <c r="D108" s="8">
        <v>30</v>
      </c>
      <c r="E108" s="9">
        <v>620.72</v>
      </c>
      <c r="F108" s="9">
        <v>495.12</v>
      </c>
      <c r="G108" s="9">
        <f t="shared" si="2"/>
        <v>18621.600000000002</v>
      </c>
      <c r="H108" s="10">
        <f t="shared" si="3"/>
        <v>3768.0000000000018</v>
      </c>
    </row>
    <row r="109" spans="1:8" x14ac:dyDescent="0.35">
      <c r="A109" s="11">
        <v>45675</v>
      </c>
      <c r="B109" s="12" t="s">
        <v>16</v>
      </c>
      <c r="C109" s="12" t="s">
        <v>17</v>
      </c>
      <c r="D109" s="12">
        <v>6</v>
      </c>
      <c r="E109" s="13">
        <v>750.92</v>
      </c>
      <c r="F109" s="13">
        <v>342.51</v>
      </c>
      <c r="G109" s="13">
        <f t="shared" si="2"/>
        <v>4505.5199999999995</v>
      </c>
      <c r="H109" s="14">
        <f t="shared" si="3"/>
        <v>2450.4599999999996</v>
      </c>
    </row>
    <row r="110" spans="1:8" x14ac:dyDescent="0.35">
      <c r="A110" s="7">
        <v>45676</v>
      </c>
      <c r="B110" s="8" t="s">
        <v>13</v>
      </c>
      <c r="C110" s="8" t="s">
        <v>12</v>
      </c>
      <c r="D110" s="8">
        <v>33</v>
      </c>
      <c r="E110" s="9">
        <v>775.44</v>
      </c>
      <c r="F110" s="9">
        <v>470.93</v>
      </c>
      <c r="G110" s="9">
        <f t="shared" si="2"/>
        <v>25589.52</v>
      </c>
      <c r="H110" s="10">
        <f t="shared" si="3"/>
        <v>10048.83</v>
      </c>
    </row>
    <row r="111" spans="1:8" x14ac:dyDescent="0.35">
      <c r="A111" s="11">
        <v>45677</v>
      </c>
      <c r="B111" s="12" t="s">
        <v>8</v>
      </c>
      <c r="C111" s="12" t="s">
        <v>15</v>
      </c>
      <c r="D111" s="12">
        <v>14</v>
      </c>
      <c r="E111" s="13">
        <v>735.75</v>
      </c>
      <c r="F111" s="13">
        <v>570.71</v>
      </c>
      <c r="G111" s="13">
        <f t="shared" si="2"/>
        <v>10300.5</v>
      </c>
      <c r="H111" s="14">
        <f t="shared" si="3"/>
        <v>2310.5599999999995</v>
      </c>
    </row>
    <row r="112" spans="1:8" x14ac:dyDescent="0.35">
      <c r="A112" s="7">
        <v>45678</v>
      </c>
      <c r="B112" s="8" t="s">
        <v>10</v>
      </c>
      <c r="C112" s="8" t="s">
        <v>12</v>
      </c>
      <c r="D112" s="8">
        <v>10</v>
      </c>
      <c r="E112" s="9">
        <v>605.55999999999995</v>
      </c>
      <c r="F112" s="9">
        <v>327.99</v>
      </c>
      <c r="G112" s="9">
        <f t="shared" si="2"/>
        <v>6055.5999999999995</v>
      </c>
      <c r="H112" s="10">
        <f t="shared" si="3"/>
        <v>2775.6999999999994</v>
      </c>
    </row>
    <row r="113" spans="1:8" x14ac:dyDescent="0.35">
      <c r="A113" s="11">
        <v>45679</v>
      </c>
      <c r="B113" s="12" t="s">
        <v>8</v>
      </c>
      <c r="C113" s="12" t="s">
        <v>9</v>
      </c>
      <c r="D113" s="12">
        <v>39</v>
      </c>
      <c r="E113" s="13">
        <v>661.57</v>
      </c>
      <c r="F113" s="13">
        <v>415.51</v>
      </c>
      <c r="G113" s="13">
        <f t="shared" si="2"/>
        <v>25801.230000000003</v>
      </c>
      <c r="H113" s="14">
        <f t="shared" si="3"/>
        <v>9596.3400000000038</v>
      </c>
    </row>
    <row r="114" spans="1:8" x14ac:dyDescent="0.35">
      <c r="A114" s="7">
        <v>45680</v>
      </c>
      <c r="B114" s="8" t="s">
        <v>10</v>
      </c>
      <c r="C114" s="8" t="s">
        <v>11</v>
      </c>
      <c r="D114" s="8">
        <v>15</v>
      </c>
      <c r="E114" s="9">
        <v>413.37</v>
      </c>
      <c r="F114" s="9">
        <v>312.77999999999997</v>
      </c>
      <c r="G114" s="9">
        <f t="shared" si="2"/>
        <v>6200.55</v>
      </c>
      <c r="H114" s="10">
        <f t="shared" si="3"/>
        <v>1508.8500000000004</v>
      </c>
    </row>
    <row r="115" spans="1:8" x14ac:dyDescent="0.35">
      <c r="A115" s="11">
        <v>45681</v>
      </c>
      <c r="B115" s="12" t="s">
        <v>13</v>
      </c>
      <c r="C115" s="12" t="s">
        <v>14</v>
      </c>
      <c r="D115" s="12">
        <v>11</v>
      </c>
      <c r="E115" s="13">
        <v>32.76</v>
      </c>
      <c r="F115" s="13">
        <v>20.38</v>
      </c>
      <c r="G115" s="13">
        <f t="shared" si="2"/>
        <v>360.35999999999996</v>
      </c>
      <c r="H115" s="14">
        <f t="shared" si="3"/>
        <v>136.17999999999998</v>
      </c>
    </row>
    <row r="116" spans="1:8" x14ac:dyDescent="0.35">
      <c r="A116" s="7">
        <v>45682</v>
      </c>
      <c r="B116" s="8" t="s">
        <v>13</v>
      </c>
      <c r="C116" s="8" t="s">
        <v>15</v>
      </c>
      <c r="D116" s="8">
        <v>20</v>
      </c>
      <c r="E116" s="9">
        <v>589.92999999999995</v>
      </c>
      <c r="F116" s="9">
        <v>351.4</v>
      </c>
      <c r="G116" s="9">
        <f t="shared" si="2"/>
        <v>11798.599999999999</v>
      </c>
      <c r="H116" s="10">
        <f t="shared" si="3"/>
        <v>4770.5999999999985</v>
      </c>
    </row>
    <row r="117" spans="1:8" x14ac:dyDescent="0.35">
      <c r="A117" s="11">
        <v>45683</v>
      </c>
      <c r="B117" s="12" t="s">
        <v>13</v>
      </c>
      <c r="C117" s="12" t="s">
        <v>11</v>
      </c>
      <c r="D117" s="12">
        <v>8</v>
      </c>
      <c r="E117" s="13">
        <v>676.98</v>
      </c>
      <c r="F117" s="13">
        <v>305.05</v>
      </c>
      <c r="G117" s="13">
        <f t="shared" si="2"/>
        <v>5415.84</v>
      </c>
      <c r="H117" s="14">
        <f t="shared" si="3"/>
        <v>2975.44</v>
      </c>
    </row>
    <row r="118" spans="1:8" x14ac:dyDescent="0.35">
      <c r="A118" s="7">
        <v>45684</v>
      </c>
      <c r="B118" s="8" t="s">
        <v>8</v>
      </c>
      <c r="C118" s="8" t="s">
        <v>15</v>
      </c>
      <c r="D118" s="8">
        <v>8</v>
      </c>
      <c r="E118" s="9">
        <v>753.71</v>
      </c>
      <c r="F118" s="9">
        <v>390.81</v>
      </c>
      <c r="G118" s="9">
        <f t="shared" si="2"/>
        <v>6029.68</v>
      </c>
      <c r="H118" s="10">
        <f t="shared" si="3"/>
        <v>2903.2000000000003</v>
      </c>
    </row>
    <row r="119" spans="1:8" x14ac:dyDescent="0.35">
      <c r="A119" s="11">
        <v>45685</v>
      </c>
      <c r="B119" s="12" t="s">
        <v>10</v>
      </c>
      <c r="C119" s="12" t="s">
        <v>17</v>
      </c>
      <c r="D119" s="12">
        <v>17</v>
      </c>
      <c r="E119" s="13">
        <v>316.61</v>
      </c>
      <c r="F119" s="13">
        <v>186.01</v>
      </c>
      <c r="G119" s="13">
        <f t="shared" si="2"/>
        <v>5382.37</v>
      </c>
      <c r="H119" s="14">
        <f t="shared" si="3"/>
        <v>2220.1999999999998</v>
      </c>
    </row>
    <row r="120" spans="1:8" x14ac:dyDescent="0.35">
      <c r="A120" s="7">
        <v>45686</v>
      </c>
      <c r="B120" s="8" t="s">
        <v>10</v>
      </c>
      <c r="C120" s="8" t="s">
        <v>11</v>
      </c>
      <c r="D120" s="8">
        <v>28</v>
      </c>
      <c r="E120" s="9">
        <v>611.86</v>
      </c>
      <c r="F120" s="9">
        <v>458.28</v>
      </c>
      <c r="G120" s="9">
        <f t="shared" si="2"/>
        <v>17132.080000000002</v>
      </c>
      <c r="H120" s="10">
        <f t="shared" si="3"/>
        <v>4300.2400000000016</v>
      </c>
    </row>
    <row r="121" spans="1:8" x14ac:dyDescent="0.35">
      <c r="A121" s="11">
        <v>45687</v>
      </c>
      <c r="B121" s="12" t="s">
        <v>8</v>
      </c>
      <c r="C121" s="12" t="s">
        <v>12</v>
      </c>
      <c r="D121" s="12">
        <v>4</v>
      </c>
      <c r="E121" s="13">
        <v>672.7</v>
      </c>
      <c r="F121" s="13">
        <v>369.96</v>
      </c>
      <c r="G121" s="13">
        <f t="shared" si="2"/>
        <v>2690.8</v>
      </c>
      <c r="H121" s="14">
        <f t="shared" si="3"/>
        <v>1210.9600000000003</v>
      </c>
    </row>
    <row r="122" spans="1:8" x14ac:dyDescent="0.35">
      <c r="A122" s="7">
        <v>45688</v>
      </c>
      <c r="B122" s="8" t="s">
        <v>16</v>
      </c>
      <c r="C122" s="8" t="s">
        <v>19</v>
      </c>
      <c r="D122" s="8">
        <v>18</v>
      </c>
      <c r="E122" s="9">
        <v>365.91</v>
      </c>
      <c r="F122" s="9">
        <v>205.08</v>
      </c>
      <c r="G122" s="9">
        <f t="shared" si="2"/>
        <v>6586.38</v>
      </c>
      <c r="H122" s="10">
        <f t="shared" si="3"/>
        <v>2894.94</v>
      </c>
    </row>
    <row r="123" spans="1:8" x14ac:dyDescent="0.35">
      <c r="A123" s="11">
        <v>45689</v>
      </c>
      <c r="B123" s="12" t="s">
        <v>8</v>
      </c>
      <c r="C123" s="12" t="s">
        <v>15</v>
      </c>
      <c r="D123" s="12">
        <v>2</v>
      </c>
      <c r="E123" s="13">
        <v>655.21</v>
      </c>
      <c r="F123" s="13">
        <v>439.52</v>
      </c>
      <c r="G123" s="13">
        <f t="shared" si="2"/>
        <v>1310.42</v>
      </c>
      <c r="H123" s="14">
        <f t="shared" si="3"/>
        <v>431.38000000000011</v>
      </c>
    </row>
    <row r="124" spans="1:8" x14ac:dyDescent="0.35">
      <c r="A124" s="7">
        <v>45690</v>
      </c>
      <c r="B124" s="8" t="s">
        <v>16</v>
      </c>
      <c r="C124" s="8" t="s">
        <v>12</v>
      </c>
      <c r="D124" s="8">
        <v>4</v>
      </c>
      <c r="E124" s="9">
        <v>748.77</v>
      </c>
      <c r="F124" s="9">
        <v>444.63</v>
      </c>
      <c r="G124" s="9">
        <f t="shared" si="2"/>
        <v>2995.08</v>
      </c>
      <c r="H124" s="10">
        <f t="shared" si="3"/>
        <v>1216.56</v>
      </c>
    </row>
    <row r="125" spans="1:8" x14ac:dyDescent="0.35">
      <c r="A125" s="11">
        <v>45691</v>
      </c>
      <c r="B125" s="12" t="s">
        <v>16</v>
      </c>
      <c r="C125" s="12" t="s">
        <v>17</v>
      </c>
      <c r="D125" s="12">
        <v>32</v>
      </c>
      <c r="E125" s="13">
        <v>67.709999999999994</v>
      </c>
      <c r="F125" s="13">
        <v>52.43</v>
      </c>
      <c r="G125" s="13">
        <f t="shared" si="2"/>
        <v>2166.7199999999998</v>
      </c>
      <c r="H125" s="14">
        <f t="shared" si="3"/>
        <v>488.95999999999981</v>
      </c>
    </row>
    <row r="126" spans="1:8" x14ac:dyDescent="0.35">
      <c r="A126" s="7">
        <v>45692</v>
      </c>
      <c r="B126" s="8" t="s">
        <v>16</v>
      </c>
      <c r="C126" s="8" t="s">
        <v>9</v>
      </c>
      <c r="D126" s="8">
        <v>31</v>
      </c>
      <c r="E126" s="9">
        <v>349.45</v>
      </c>
      <c r="F126" s="9">
        <v>191.71</v>
      </c>
      <c r="G126" s="9">
        <f t="shared" si="2"/>
        <v>10832.949999999999</v>
      </c>
      <c r="H126" s="10">
        <f t="shared" si="3"/>
        <v>4889.9399999999987</v>
      </c>
    </row>
    <row r="127" spans="1:8" x14ac:dyDescent="0.35">
      <c r="A127" s="11">
        <v>45693</v>
      </c>
      <c r="B127" s="12" t="s">
        <v>8</v>
      </c>
      <c r="C127" s="12" t="s">
        <v>17</v>
      </c>
      <c r="D127" s="12">
        <v>26</v>
      </c>
      <c r="E127" s="13">
        <v>535.12</v>
      </c>
      <c r="F127" s="13">
        <v>297.14999999999998</v>
      </c>
      <c r="G127" s="13">
        <f t="shared" si="2"/>
        <v>13913.12</v>
      </c>
      <c r="H127" s="14">
        <f t="shared" si="3"/>
        <v>6187.2200000000012</v>
      </c>
    </row>
    <row r="128" spans="1:8" x14ac:dyDescent="0.35">
      <c r="A128" s="7">
        <v>45694</v>
      </c>
      <c r="B128" s="8" t="s">
        <v>13</v>
      </c>
      <c r="C128" s="8" t="s">
        <v>12</v>
      </c>
      <c r="D128" s="8">
        <v>11</v>
      </c>
      <c r="E128" s="9">
        <v>525.27</v>
      </c>
      <c r="F128" s="9">
        <v>250.19</v>
      </c>
      <c r="G128" s="9">
        <f t="shared" si="2"/>
        <v>5777.9699999999993</v>
      </c>
      <c r="H128" s="10">
        <f t="shared" si="3"/>
        <v>3025.8799999999992</v>
      </c>
    </row>
    <row r="129" spans="1:8" x14ac:dyDescent="0.35">
      <c r="A129" s="11">
        <v>45695</v>
      </c>
      <c r="B129" s="12" t="s">
        <v>13</v>
      </c>
      <c r="C129" s="12" t="s">
        <v>19</v>
      </c>
      <c r="D129" s="12">
        <v>29</v>
      </c>
      <c r="E129" s="13">
        <v>727.82</v>
      </c>
      <c r="F129" s="13">
        <v>581.36</v>
      </c>
      <c r="G129" s="13">
        <f t="shared" si="2"/>
        <v>21106.780000000002</v>
      </c>
      <c r="H129" s="14">
        <f t="shared" si="3"/>
        <v>4247.3400000000038</v>
      </c>
    </row>
    <row r="130" spans="1:8" x14ac:dyDescent="0.35">
      <c r="A130" s="7">
        <v>45696</v>
      </c>
      <c r="B130" s="8" t="s">
        <v>13</v>
      </c>
      <c r="C130" s="8" t="s">
        <v>15</v>
      </c>
      <c r="D130" s="8">
        <v>9</v>
      </c>
      <c r="E130" s="9">
        <v>451.79</v>
      </c>
      <c r="F130" s="9">
        <v>241.9</v>
      </c>
      <c r="G130" s="9">
        <f t="shared" ref="G130:G193" si="4">D130*E130</f>
        <v>4066.11</v>
      </c>
      <c r="H130" s="10">
        <f t="shared" ref="H130:H193" si="5">G130-D130*F130</f>
        <v>1889.0100000000002</v>
      </c>
    </row>
    <row r="131" spans="1:8" x14ac:dyDescent="0.35">
      <c r="A131" s="11">
        <v>45697</v>
      </c>
      <c r="B131" s="12" t="s">
        <v>16</v>
      </c>
      <c r="C131" s="12" t="s">
        <v>11</v>
      </c>
      <c r="D131" s="12">
        <v>36</v>
      </c>
      <c r="E131" s="13">
        <v>100.14</v>
      </c>
      <c r="F131" s="13">
        <v>53.44</v>
      </c>
      <c r="G131" s="13">
        <f t="shared" si="4"/>
        <v>3605.04</v>
      </c>
      <c r="H131" s="14">
        <f t="shared" si="5"/>
        <v>1681.2</v>
      </c>
    </row>
    <row r="132" spans="1:8" x14ac:dyDescent="0.35">
      <c r="A132" s="7">
        <v>45698</v>
      </c>
      <c r="B132" s="8" t="s">
        <v>8</v>
      </c>
      <c r="C132" s="8" t="s">
        <v>19</v>
      </c>
      <c r="D132" s="8">
        <v>2</v>
      </c>
      <c r="E132" s="9">
        <v>607.24</v>
      </c>
      <c r="F132" s="9">
        <v>360.99</v>
      </c>
      <c r="G132" s="9">
        <f t="shared" si="4"/>
        <v>1214.48</v>
      </c>
      <c r="H132" s="10">
        <f t="shared" si="5"/>
        <v>492.5</v>
      </c>
    </row>
    <row r="133" spans="1:8" x14ac:dyDescent="0.35">
      <c r="A133" s="11">
        <v>45699</v>
      </c>
      <c r="B133" s="12" t="s">
        <v>13</v>
      </c>
      <c r="C133" s="12" t="s">
        <v>19</v>
      </c>
      <c r="D133" s="12">
        <v>25</v>
      </c>
      <c r="E133" s="13">
        <v>238.08</v>
      </c>
      <c r="F133" s="13">
        <v>169.81</v>
      </c>
      <c r="G133" s="13">
        <f t="shared" si="4"/>
        <v>5952</v>
      </c>
      <c r="H133" s="14">
        <f t="shared" si="5"/>
        <v>1706.75</v>
      </c>
    </row>
    <row r="134" spans="1:8" x14ac:dyDescent="0.35">
      <c r="A134" s="7">
        <v>45700</v>
      </c>
      <c r="B134" s="8" t="s">
        <v>13</v>
      </c>
      <c r="C134" s="8" t="s">
        <v>17</v>
      </c>
      <c r="D134" s="8">
        <v>37</v>
      </c>
      <c r="E134" s="9">
        <v>775.12</v>
      </c>
      <c r="F134" s="9">
        <v>382.95</v>
      </c>
      <c r="G134" s="9">
        <f t="shared" si="4"/>
        <v>28679.439999999999</v>
      </c>
      <c r="H134" s="10">
        <f t="shared" si="5"/>
        <v>14510.289999999999</v>
      </c>
    </row>
    <row r="135" spans="1:8" x14ac:dyDescent="0.35">
      <c r="A135" s="11">
        <v>45701</v>
      </c>
      <c r="B135" s="12" t="s">
        <v>16</v>
      </c>
      <c r="C135" s="12" t="s">
        <v>12</v>
      </c>
      <c r="D135" s="12">
        <v>18</v>
      </c>
      <c r="E135" s="13">
        <v>720.53</v>
      </c>
      <c r="F135" s="13">
        <v>421.22</v>
      </c>
      <c r="G135" s="13">
        <f t="shared" si="4"/>
        <v>12969.539999999999</v>
      </c>
      <c r="H135" s="14">
        <f t="shared" si="5"/>
        <v>5387.5799999999981</v>
      </c>
    </row>
    <row r="136" spans="1:8" x14ac:dyDescent="0.35">
      <c r="A136" s="7">
        <v>45702</v>
      </c>
      <c r="B136" s="8" t="s">
        <v>13</v>
      </c>
      <c r="C136" s="8" t="s">
        <v>15</v>
      </c>
      <c r="D136" s="8">
        <v>20</v>
      </c>
      <c r="E136" s="9">
        <v>683.49</v>
      </c>
      <c r="F136" s="9">
        <v>516.38</v>
      </c>
      <c r="G136" s="9">
        <f t="shared" si="4"/>
        <v>13669.8</v>
      </c>
      <c r="H136" s="10">
        <f t="shared" si="5"/>
        <v>3342.1999999999989</v>
      </c>
    </row>
    <row r="137" spans="1:8" x14ac:dyDescent="0.35">
      <c r="A137" s="11">
        <v>45703</v>
      </c>
      <c r="B137" s="12" t="s">
        <v>10</v>
      </c>
      <c r="C137" s="12" t="s">
        <v>9</v>
      </c>
      <c r="D137" s="12">
        <v>3</v>
      </c>
      <c r="E137" s="13">
        <v>357.4</v>
      </c>
      <c r="F137" s="13">
        <v>256.36</v>
      </c>
      <c r="G137" s="13">
        <f t="shared" si="4"/>
        <v>1072.1999999999998</v>
      </c>
      <c r="H137" s="14">
        <f t="shared" si="5"/>
        <v>303.11999999999978</v>
      </c>
    </row>
    <row r="138" spans="1:8" x14ac:dyDescent="0.35">
      <c r="A138" s="7">
        <v>45704</v>
      </c>
      <c r="B138" s="8" t="s">
        <v>13</v>
      </c>
      <c r="C138" s="8" t="s">
        <v>18</v>
      </c>
      <c r="D138" s="8">
        <v>1</v>
      </c>
      <c r="E138" s="9">
        <v>86.32</v>
      </c>
      <c r="F138" s="9">
        <v>66.95</v>
      </c>
      <c r="G138" s="9">
        <f t="shared" si="4"/>
        <v>86.32</v>
      </c>
      <c r="H138" s="10">
        <f t="shared" si="5"/>
        <v>19.36999999999999</v>
      </c>
    </row>
    <row r="139" spans="1:8" x14ac:dyDescent="0.35">
      <c r="A139" s="11">
        <v>45705</v>
      </c>
      <c r="B139" s="12" t="s">
        <v>13</v>
      </c>
      <c r="C139" s="12" t="s">
        <v>18</v>
      </c>
      <c r="D139" s="12">
        <v>16</v>
      </c>
      <c r="E139" s="13">
        <v>632.99</v>
      </c>
      <c r="F139" s="13">
        <v>334.43</v>
      </c>
      <c r="G139" s="13">
        <f t="shared" si="4"/>
        <v>10127.84</v>
      </c>
      <c r="H139" s="14">
        <f t="shared" si="5"/>
        <v>4776.96</v>
      </c>
    </row>
    <row r="140" spans="1:8" x14ac:dyDescent="0.35">
      <c r="A140" s="7">
        <v>45706</v>
      </c>
      <c r="B140" s="8" t="s">
        <v>16</v>
      </c>
      <c r="C140" s="8" t="s">
        <v>12</v>
      </c>
      <c r="D140" s="8">
        <v>30</v>
      </c>
      <c r="E140" s="9">
        <v>95.45</v>
      </c>
      <c r="F140" s="9">
        <v>68.91</v>
      </c>
      <c r="G140" s="9">
        <f t="shared" si="4"/>
        <v>2863.5</v>
      </c>
      <c r="H140" s="10">
        <f t="shared" si="5"/>
        <v>796.20000000000027</v>
      </c>
    </row>
    <row r="141" spans="1:8" x14ac:dyDescent="0.35">
      <c r="A141" s="11">
        <v>45707</v>
      </c>
      <c r="B141" s="12" t="s">
        <v>10</v>
      </c>
      <c r="C141" s="12" t="s">
        <v>9</v>
      </c>
      <c r="D141" s="12">
        <v>15</v>
      </c>
      <c r="E141" s="13">
        <v>468.42</v>
      </c>
      <c r="F141" s="13">
        <v>216.95</v>
      </c>
      <c r="G141" s="13">
        <f t="shared" si="4"/>
        <v>7026.3</v>
      </c>
      <c r="H141" s="14">
        <f t="shared" si="5"/>
        <v>3772.05</v>
      </c>
    </row>
    <row r="142" spans="1:8" x14ac:dyDescent="0.35">
      <c r="A142" s="7">
        <v>45708</v>
      </c>
      <c r="B142" s="8" t="s">
        <v>8</v>
      </c>
      <c r="C142" s="8" t="s">
        <v>9</v>
      </c>
      <c r="D142" s="8">
        <v>17</v>
      </c>
      <c r="E142" s="9">
        <v>436.75</v>
      </c>
      <c r="F142" s="9">
        <v>263.39999999999998</v>
      </c>
      <c r="G142" s="9">
        <f t="shared" si="4"/>
        <v>7424.75</v>
      </c>
      <c r="H142" s="10">
        <f t="shared" si="5"/>
        <v>2946.9500000000007</v>
      </c>
    </row>
    <row r="143" spans="1:8" x14ac:dyDescent="0.35">
      <c r="A143" s="11">
        <v>45709</v>
      </c>
      <c r="B143" s="12" t="s">
        <v>10</v>
      </c>
      <c r="C143" s="12" t="s">
        <v>12</v>
      </c>
      <c r="D143" s="12">
        <v>5</v>
      </c>
      <c r="E143" s="13">
        <v>261.27</v>
      </c>
      <c r="F143" s="13">
        <v>203.85</v>
      </c>
      <c r="G143" s="13">
        <f t="shared" si="4"/>
        <v>1306.3499999999999</v>
      </c>
      <c r="H143" s="14">
        <f t="shared" si="5"/>
        <v>287.09999999999991</v>
      </c>
    </row>
    <row r="144" spans="1:8" x14ac:dyDescent="0.35">
      <c r="A144" s="7">
        <v>45710</v>
      </c>
      <c r="B144" s="8" t="s">
        <v>16</v>
      </c>
      <c r="C144" s="8" t="s">
        <v>15</v>
      </c>
      <c r="D144" s="8">
        <v>17</v>
      </c>
      <c r="E144" s="9">
        <v>202.16</v>
      </c>
      <c r="F144" s="9">
        <v>133.5</v>
      </c>
      <c r="G144" s="9">
        <f t="shared" si="4"/>
        <v>3436.72</v>
      </c>
      <c r="H144" s="10">
        <f t="shared" si="5"/>
        <v>1167.2199999999998</v>
      </c>
    </row>
    <row r="145" spans="1:8" x14ac:dyDescent="0.35">
      <c r="A145" s="11">
        <v>45711</v>
      </c>
      <c r="B145" s="12" t="s">
        <v>10</v>
      </c>
      <c r="C145" s="12" t="s">
        <v>17</v>
      </c>
      <c r="D145" s="12">
        <v>30</v>
      </c>
      <c r="E145" s="13">
        <v>244.52</v>
      </c>
      <c r="F145" s="13">
        <v>137.11000000000001</v>
      </c>
      <c r="G145" s="13">
        <f t="shared" si="4"/>
        <v>7335.6</v>
      </c>
      <c r="H145" s="14">
        <f t="shared" si="5"/>
        <v>3222.3</v>
      </c>
    </row>
    <row r="146" spans="1:8" x14ac:dyDescent="0.35">
      <c r="A146" s="7">
        <v>45712</v>
      </c>
      <c r="B146" s="8" t="s">
        <v>16</v>
      </c>
      <c r="C146" s="8" t="s">
        <v>18</v>
      </c>
      <c r="D146" s="8">
        <v>34</v>
      </c>
      <c r="E146" s="9">
        <v>210.77</v>
      </c>
      <c r="F146" s="9">
        <v>113.07</v>
      </c>
      <c r="G146" s="9">
        <f t="shared" si="4"/>
        <v>7166.18</v>
      </c>
      <c r="H146" s="10">
        <f t="shared" si="5"/>
        <v>3321.8000000000006</v>
      </c>
    </row>
    <row r="147" spans="1:8" x14ac:dyDescent="0.35">
      <c r="A147" s="11">
        <v>45713</v>
      </c>
      <c r="B147" s="12" t="s">
        <v>13</v>
      </c>
      <c r="C147" s="12" t="s">
        <v>17</v>
      </c>
      <c r="D147" s="12">
        <v>4</v>
      </c>
      <c r="E147" s="13">
        <v>46.78</v>
      </c>
      <c r="F147" s="13">
        <v>29.21</v>
      </c>
      <c r="G147" s="13">
        <f t="shared" si="4"/>
        <v>187.12</v>
      </c>
      <c r="H147" s="14">
        <f t="shared" si="5"/>
        <v>70.28</v>
      </c>
    </row>
    <row r="148" spans="1:8" x14ac:dyDescent="0.35">
      <c r="A148" s="7">
        <v>45714</v>
      </c>
      <c r="B148" s="8" t="s">
        <v>13</v>
      </c>
      <c r="C148" s="8" t="s">
        <v>12</v>
      </c>
      <c r="D148" s="8">
        <v>17</v>
      </c>
      <c r="E148" s="9">
        <v>205.44</v>
      </c>
      <c r="F148" s="9">
        <v>122.96</v>
      </c>
      <c r="G148" s="9">
        <f t="shared" si="4"/>
        <v>3492.48</v>
      </c>
      <c r="H148" s="10">
        <f t="shared" si="5"/>
        <v>1402.1600000000003</v>
      </c>
    </row>
    <row r="149" spans="1:8" x14ac:dyDescent="0.35">
      <c r="A149" s="11">
        <v>45715</v>
      </c>
      <c r="B149" s="12" t="s">
        <v>8</v>
      </c>
      <c r="C149" s="12" t="s">
        <v>19</v>
      </c>
      <c r="D149" s="12">
        <v>32</v>
      </c>
      <c r="E149" s="13">
        <v>56.26</v>
      </c>
      <c r="F149" s="13">
        <v>31.97</v>
      </c>
      <c r="G149" s="13">
        <f t="shared" si="4"/>
        <v>1800.32</v>
      </c>
      <c r="H149" s="14">
        <f t="shared" si="5"/>
        <v>777.28</v>
      </c>
    </row>
    <row r="150" spans="1:8" x14ac:dyDescent="0.35">
      <c r="A150" s="7">
        <v>45716</v>
      </c>
      <c r="B150" s="8" t="s">
        <v>13</v>
      </c>
      <c r="C150" s="8" t="s">
        <v>11</v>
      </c>
      <c r="D150" s="8">
        <v>26</v>
      </c>
      <c r="E150" s="9">
        <v>182.52</v>
      </c>
      <c r="F150" s="9">
        <v>133.05000000000001</v>
      </c>
      <c r="G150" s="9">
        <f t="shared" si="4"/>
        <v>4745.5200000000004</v>
      </c>
      <c r="H150" s="10">
        <f t="shared" si="5"/>
        <v>1286.2200000000003</v>
      </c>
    </row>
    <row r="151" spans="1:8" x14ac:dyDescent="0.35">
      <c r="A151" s="11">
        <v>45717</v>
      </c>
      <c r="B151" s="12" t="s">
        <v>10</v>
      </c>
      <c r="C151" s="12" t="s">
        <v>19</v>
      </c>
      <c r="D151" s="12">
        <v>32</v>
      </c>
      <c r="E151" s="13">
        <v>776.79</v>
      </c>
      <c r="F151" s="13">
        <v>434.3</v>
      </c>
      <c r="G151" s="13">
        <f t="shared" si="4"/>
        <v>24857.279999999999</v>
      </c>
      <c r="H151" s="14">
        <f t="shared" si="5"/>
        <v>10959.679999999998</v>
      </c>
    </row>
    <row r="152" spans="1:8" x14ac:dyDescent="0.35">
      <c r="A152" s="7">
        <v>45718</v>
      </c>
      <c r="B152" s="8" t="s">
        <v>16</v>
      </c>
      <c r="C152" s="8" t="s">
        <v>19</v>
      </c>
      <c r="D152" s="8">
        <v>30</v>
      </c>
      <c r="E152" s="9">
        <v>200.51</v>
      </c>
      <c r="F152" s="9">
        <v>143.6</v>
      </c>
      <c r="G152" s="9">
        <f t="shared" si="4"/>
        <v>6015.2999999999993</v>
      </c>
      <c r="H152" s="10">
        <f t="shared" si="5"/>
        <v>1707.2999999999993</v>
      </c>
    </row>
    <row r="153" spans="1:8" x14ac:dyDescent="0.35">
      <c r="A153" s="11">
        <v>45719</v>
      </c>
      <c r="B153" s="12" t="s">
        <v>8</v>
      </c>
      <c r="C153" s="12" t="s">
        <v>12</v>
      </c>
      <c r="D153" s="12">
        <v>40</v>
      </c>
      <c r="E153" s="13">
        <v>411.74</v>
      </c>
      <c r="F153" s="13">
        <v>212.28</v>
      </c>
      <c r="G153" s="13">
        <f t="shared" si="4"/>
        <v>16469.599999999999</v>
      </c>
      <c r="H153" s="14">
        <f t="shared" si="5"/>
        <v>7978.3999999999978</v>
      </c>
    </row>
    <row r="154" spans="1:8" x14ac:dyDescent="0.35">
      <c r="A154" s="7">
        <v>45720</v>
      </c>
      <c r="B154" s="8" t="s">
        <v>16</v>
      </c>
      <c r="C154" s="8" t="s">
        <v>18</v>
      </c>
      <c r="D154" s="8">
        <v>27</v>
      </c>
      <c r="E154" s="9">
        <v>731</v>
      </c>
      <c r="F154" s="9">
        <v>343.38</v>
      </c>
      <c r="G154" s="9">
        <f t="shared" si="4"/>
        <v>19737</v>
      </c>
      <c r="H154" s="10">
        <f t="shared" si="5"/>
        <v>10465.74</v>
      </c>
    </row>
    <row r="155" spans="1:8" x14ac:dyDescent="0.35">
      <c r="A155" s="11">
        <v>45721</v>
      </c>
      <c r="B155" s="12" t="s">
        <v>16</v>
      </c>
      <c r="C155" s="12" t="s">
        <v>15</v>
      </c>
      <c r="D155" s="12">
        <v>4</v>
      </c>
      <c r="E155" s="13">
        <v>193.97</v>
      </c>
      <c r="F155" s="13">
        <v>153.41999999999999</v>
      </c>
      <c r="G155" s="13">
        <f t="shared" si="4"/>
        <v>775.88</v>
      </c>
      <c r="H155" s="14">
        <f t="shared" si="5"/>
        <v>162.20000000000005</v>
      </c>
    </row>
    <row r="156" spans="1:8" x14ac:dyDescent="0.35">
      <c r="A156" s="7">
        <v>45722</v>
      </c>
      <c r="B156" s="8" t="s">
        <v>16</v>
      </c>
      <c r="C156" s="8" t="s">
        <v>15</v>
      </c>
      <c r="D156" s="8">
        <v>4</v>
      </c>
      <c r="E156" s="9">
        <v>576.59</v>
      </c>
      <c r="F156" s="9">
        <v>296.62</v>
      </c>
      <c r="G156" s="9">
        <f t="shared" si="4"/>
        <v>2306.36</v>
      </c>
      <c r="H156" s="10">
        <f t="shared" si="5"/>
        <v>1119.8800000000001</v>
      </c>
    </row>
    <row r="157" spans="1:8" x14ac:dyDescent="0.35">
      <c r="A157" s="11">
        <v>45723</v>
      </c>
      <c r="B157" s="12" t="s">
        <v>13</v>
      </c>
      <c r="C157" s="12" t="s">
        <v>11</v>
      </c>
      <c r="D157" s="12">
        <v>8</v>
      </c>
      <c r="E157" s="13">
        <v>798.1</v>
      </c>
      <c r="F157" s="13">
        <v>619.37</v>
      </c>
      <c r="G157" s="13">
        <f t="shared" si="4"/>
        <v>6384.8</v>
      </c>
      <c r="H157" s="14">
        <f t="shared" si="5"/>
        <v>1429.8400000000001</v>
      </c>
    </row>
    <row r="158" spans="1:8" x14ac:dyDescent="0.35">
      <c r="A158" s="7">
        <v>45724</v>
      </c>
      <c r="B158" s="8" t="s">
        <v>8</v>
      </c>
      <c r="C158" s="8" t="s">
        <v>19</v>
      </c>
      <c r="D158" s="8">
        <v>12</v>
      </c>
      <c r="E158" s="9">
        <v>532.4</v>
      </c>
      <c r="F158" s="9">
        <v>337.37</v>
      </c>
      <c r="G158" s="9">
        <f t="shared" si="4"/>
        <v>6388.7999999999993</v>
      </c>
      <c r="H158" s="10">
        <f t="shared" si="5"/>
        <v>2340.3599999999992</v>
      </c>
    </row>
    <row r="159" spans="1:8" x14ac:dyDescent="0.35">
      <c r="A159" s="11">
        <v>45725</v>
      </c>
      <c r="B159" s="12" t="s">
        <v>13</v>
      </c>
      <c r="C159" s="12" t="s">
        <v>14</v>
      </c>
      <c r="D159" s="12">
        <v>20</v>
      </c>
      <c r="E159" s="13">
        <v>541.61</v>
      </c>
      <c r="F159" s="13">
        <v>315.5</v>
      </c>
      <c r="G159" s="13">
        <f t="shared" si="4"/>
        <v>10832.2</v>
      </c>
      <c r="H159" s="14">
        <f t="shared" si="5"/>
        <v>4522.2000000000007</v>
      </c>
    </row>
    <row r="160" spans="1:8" x14ac:dyDescent="0.35">
      <c r="A160" s="7">
        <v>45726</v>
      </c>
      <c r="B160" s="8" t="s">
        <v>8</v>
      </c>
      <c r="C160" s="8" t="s">
        <v>11</v>
      </c>
      <c r="D160" s="8">
        <v>29</v>
      </c>
      <c r="E160" s="9">
        <v>160.33000000000001</v>
      </c>
      <c r="F160" s="9">
        <v>72.31</v>
      </c>
      <c r="G160" s="9">
        <f t="shared" si="4"/>
        <v>4649.5700000000006</v>
      </c>
      <c r="H160" s="10">
        <f t="shared" si="5"/>
        <v>2552.5800000000004</v>
      </c>
    </row>
    <row r="161" spans="1:8" x14ac:dyDescent="0.35">
      <c r="A161" s="11">
        <v>45727</v>
      </c>
      <c r="B161" s="12" t="s">
        <v>8</v>
      </c>
      <c r="C161" s="12" t="s">
        <v>12</v>
      </c>
      <c r="D161" s="12">
        <v>23</v>
      </c>
      <c r="E161" s="13">
        <v>353.54</v>
      </c>
      <c r="F161" s="13">
        <v>268.62</v>
      </c>
      <c r="G161" s="13">
        <f t="shared" si="4"/>
        <v>8131.42</v>
      </c>
      <c r="H161" s="14">
        <f t="shared" si="5"/>
        <v>1953.1599999999999</v>
      </c>
    </row>
    <row r="162" spans="1:8" x14ac:dyDescent="0.35">
      <c r="A162" s="7">
        <v>45728</v>
      </c>
      <c r="B162" s="8" t="s">
        <v>16</v>
      </c>
      <c r="C162" s="8" t="s">
        <v>15</v>
      </c>
      <c r="D162" s="8">
        <v>23</v>
      </c>
      <c r="E162" s="9">
        <v>621.91999999999996</v>
      </c>
      <c r="F162" s="9">
        <v>347.06</v>
      </c>
      <c r="G162" s="9">
        <f t="shared" si="4"/>
        <v>14304.16</v>
      </c>
      <c r="H162" s="10">
        <f t="shared" si="5"/>
        <v>6321.78</v>
      </c>
    </row>
    <row r="163" spans="1:8" x14ac:dyDescent="0.35">
      <c r="A163" s="11">
        <v>45729</v>
      </c>
      <c r="B163" s="12" t="s">
        <v>13</v>
      </c>
      <c r="C163" s="12" t="s">
        <v>12</v>
      </c>
      <c r="D163" s="12">
        <v>4</v>
      </c>
      <c r="E163" s="13">
        <v>573.04999999999995</v>
      </c>
      <c r="F163" s="13">
        <v>297.13</v>
      </c>
      <c r="G163" s="13">
        <f t="shared" si="4"/>
        <v>2292.1999999999998</v>
      </c>
      <c r="H163" s="14">
        <f t="shared" si="5"/>
        <v>1103.6799999999998</v>
      </c>
    </row>
    <row r="164" spans="1:8" x14ac:dyDescent="0.35">
      <c r="A164" s="7">
        <v>45730</v>
      </c>
      <c r="B164" s="8" t="s">
        <v>13</v>
      </c>
      <c r="C164" s="8" t="s">
        <v>19</v>
      </c>
      <c r="D164" s="8">
        <v>21</v>
      </c>
      <c r="E164" s="9">
        <v>310.47000000000003</v>
      </c>
      <c r="F164" s="9">
        <v>237.18</v>
      </c>
      <c r="G164" s="9">
        <f t="shared" si="4"/>
        <v>6519.8700000000008</v>
      </c>
      <c r="H164" s="10">
        <f t="shared" si="5"/>
        <v>1539.0900000000011</v>
      </c>
    </row>
    <row r="165" spans="1:8" x14ac:dyDescent="0.35">
      <c r="A165" s="11">
        <v>45731</v>
      </c>
      <c r="B165" s="12" t="s">
        <v>10</v>
      </c>
      <c r="C165" s="12" t="s">
        <v>15</v>
      </c>
      <c r="D165" s="12">
        <v>16</v>
      </c>
      <c r="E165" s="13">
        <v>655.1</v>
      </c>
      <c r="F165" s="13">
        <v>470.58</v>
      </c>
      <c r="G165" s="13">
        <f t="shared" si="4"/>
        <v>10481.6</v>
      </c>
      <c r="H165" s="14">
        <f t="shared" si="5"/>
        <v>2952.3200000000006</v>
      </c>
    </row>
    <row r="166" spans="1:8" x14ac:dyDescent="0.35">
      <c r="A166" s="7">
        <v>45732</v>
      </c>
      <c r="B166" s="8" t="s">
        <v>10</v>
      </c>
      <c r="C166" s="8" t="s">
        <v>15</v>
      </c>
      <c r="D166" s="8">
        <v>3</v>
      </c>
      <c r="E166" s="9">
        <v>387.32</v>
      </c>
      <c r="F166" s="9">
        <v>283.2</v>
      </c>
      <c r="G166" s="9">
        <f t="shared" si="4"/>
        <v>1161.96</v>
      </c>
      <c r="H166" s="10">
        <f t="shared" si="5"/>
        <v>312.36000000000013</v>
      </c>
    </row>
    <row r="167" spans="1:8" x14ac:dyDescent="0.35">
      <c r="A167" s="11">
        <v>45733</v>
      </c>
      <c r="B167" s="12" t="s">
        <v>10</v>
      </c>
      <c r="C167" s="12" t="s">
        <v>17</v>
      </c>
      <c r="D167" s="12">
        <v>13</v>
      </c>
      <c r="E167" s="13">
        <v>605.41</v>
      </c>
      <c r="F167" s="13">
        <v>462.83</v>
      </c>
      <c r="G167" s="13">
        <f t="shared" si="4"/>
        <v>7870.33</v>
      </c>
      <c r="H167" s="14">
        <f t="shared" si="5"/>
        <v>1853.54</v>
      </c>
    </row>
    <row r="168" spans="1:8" x14ac:dyDescent="0.35">
      <c r="A168" s="7">
        <v>45734</v>
      </c>
      <c r="B168" s="8" t="s">
        <v>8</v>
      </c>
      <c r="C168" s="8" t="s">
        <v>11</v>
      </c>
      <c r="D168" s="8">
        <v>18</v>
      </c>
      <c r="E168" s="9">
        <v>287.93</v>
      </c>
      <c r="F168" s="9">
        <v>225.68</v>
      </c>
      <c r="G168" s="9">
        <f t="shared" si="4"/>
        <v>5182.74</v>
      </c>
      <c r="H168" s="10">
        <f t="shared" si="5"/>
        <v>1120.4999999999995</v>
      </c>
    </row>
    <row r="169" spans="1:8" x14ac:dyDescent="0.35">
      <c r="A169" s="11">
        <v>45735</v>
      </c>
      <c r="B169" s="12" t="s">
        <v>10</v>
      </c>
      <c r="C169" s="12" t="s">
        <v>17</v>
      </c>
      <c r="D169" s="12">
        <v>21</v>
      </c>
      <c r="E169" s="13">
        <v>741.66</v>
      </c>
      <c r="F169" s="13">
        <v>410.95</v>
      </c>
      <c r="G169" s="13">
        <f t="shared" si="4"/>
        <v>15574.859999999999</v>
      </c>
      <c r="H169" s="14">
        <f t="shared" si="5"/>
        <v>6944.91</v>
      </c>
    </row>
    <row r="170" spans="1:8" x14ac:dyDescent="0.35">
      <c r="A170" s="7">
        <v>45736</v>
      </c>
      <c r="B170" s="8" t="s">
        <v>10</v>
      </c>
      <c r="C170" s="8" t="s">
        <v>14</v>
      </c>
      <c r="D170" s="8">
        <v>15</v>
      </c>
      <c r="E170" s="9">
        <v>112.59</v>
      </c>
      <c r="F170" s="9">
        <v>78.86</v>
      </c>
      <c r="G170" s="9">
        <f t="shared" si="4"/>
        <v>1688.8500000000001</v>
      </c>
      <c r="H170" s="10">
        <f t="shared" si="5"/>
        <v>505.95000000000005</v>
      </c>
    </row>
    <row r="171" spans="1:8" x14ac:dyDescent="0.35">
      <c r="A171" s="11">
        <v>45737</v>
      </c>
      <c r="B171" s="12" t="s">
        <v>13</v>
      </c>
      <c r="C171" s="12" t="s">
        <v>15</v>
      </c>
      <c r="D171" s="12">
        <v>17</v>
      </c>
      <c r="E171" s="13">
        <v>733.43</v>
      </c>
      <c r="F171" s="13">
        <v>539.20000000000005</v>
      </c>
      <c r="G171" s="13">
        <f t="shared" si="4"/>
        <v>12468.31</v>
      </c>
      <c r="H171" s="14">
        <f t="shared" si="5"/>
        <v>3301.909999999998</v>
      </c>
    </row>
    <row r="172" spans="1:8" x14ac:dyDescent="0.35">
      <c r="A172" s="7">
        <v>45738</v>
      </c>
      <c r="B172" s="8" t="s">
        <v>16</v>
      </c>
      <c r="C172" s="8" t="s">
        <v>18</v>
      </c>
      <c r="D172" s="8">
        <v>12</v>
      </c>
      <c r="E172" s="9">
        <v>36.700000000000003</v>
      </c>
      <c r="F172" s="9">
        <v>28.47</v>
      </c>
      <c r="G172" s="9">
        <f t="shared" si="4"/>
        <v>440.40000000000003</v>
      </c>
      <c r="H172" s="10">
        <f t="shared" si="5"/>
        <v>98.760000000000048</v>
      </c>
    </row>
    <row r="173" spans="1:8" x14ac:dyDescent="0.35">
      <c r="A173" s="11">
        <v>45739</v>
      </c>
      <c r="B173" s="12" t="s">
        <v>8</v>
      </c>
      <c r="C173" s="12" t="s">
        <v>9</v>
      </c>
      <c r="D173" s="12">
        <v>39</v>
      </c>
      <c r="E173" s="13">
        <v>211.83</v>
      </c>
      <c r="F173" s="13">
        <v>159.18</v>
      </c>
      <c r="G173" s="13">
        <f t="shared" si="4"/>
        <v>8261.3700000000008</v>
      </c>
      <c r="H173" s="14">
        <f t="shared" si="5"/>
        <v>2053.3500000000004</v>
      </c>
    </row>
    <row r="174" spans="1:8" x14ac:dyDescent="0.35">
      <c r="A174" s="7">
        <v>45740</v>
      </c>
      <c r="B174" s="8" t="s">
        <v>13</v>
      </c>
      <c r="C174" s="8" t="s">
        <v>11</v>
      </c>
      <c r="D174" s="8">
        <v>39</v>
      </c>
      <c r="E174" s="9">
        <v>90.84</v>
      </c>
      <c r="F174" s="9">
        <v>47.15</v>
      </c>
      <c r="G174" s="9">
        <f t="shared" si="4"/>
        <v>3542.76</v>
      </c>
      <c r="H174" s="10">
        <f t="shared" si="5"/>
        <v>1703.9100000000003</v>
      </c>
    </row>
    <row r="175" spans="1:8" x14ac:dyDescent="0.35">
      <c r="A175" s="11">
        <v>45741</v>
      </c>
      <c r="B175" s="12" t="s">
        <v>16</v>
      </c>
      <c r="C175" s="12" t="s">
        <v>19</v>
      </c>
      <c r="D175" s="12">
        <v>27</v>
      </c>
      <c r="E175" s="13">
        <v>79.84</v>
      </c>
      <c r="F175" s="13">
        <v>36.869999999999997</v>
      </c>
      <c r="G175" s="13">
        <f t="shared" si="4"/>
        <v>2155.6800000000003</v>
      </c>
      <c r="H175" s="14">
        <f t="shared" si="5"/>
        <v>1160.1900000000005</v>
      </c>
    </row>
    <row r="176" spans="1:8" x14ac:dyDescent="0.35">
      <c r="A176" s="7">
        <v>45742</v>
      </c>
      <c r="B176" s="8" t="s">
        <v>8</v>
      </c>
      <c r="C176" s="8" t="s">
        <v>9</v>
      </c>
      <c r="D176" s="8">
        <v>28</v>
      </c>
      <c r="E176" s="9">
        <v>710.28</v>
      </c>
      <c r="F176" s="9">
        <v>565.20000000000005</v>
      </c>
      <c r="G176" s="9">
        <f t="shared" si="4"/>
        <v>19887.84</v>
      </c>
      <c r="H176" s="10">
        <f t="shared" si="5"/>
        <v>4062.239999999998</v>
      </c>
    </row>
    <row r="177" spans="1:8" x14ac:dyDescent="0.35">
      <c r="A177" s="11">
        <v>45743</v>
      </c>
      <c r="B177" s="12" t="s">
        <v>8</v>
      </c>
      <c r="C177" s="12" t="s">
        <v>12</v>
      </c>
      <c r="D177" s="12">
        <v>14</v>
      </c>
      <c r="E177" s="13">
        <v>104.25</v>
      </c>
      <c r="F177" s="13">
        <v>65.099999999999994</v>
      </c>
      <c r="G177" s="13">
        <f t="shared" si="4"/>
        <v>1459.5</v>
      </c>
      <c r="H177" s="14">
        <f t="shared" si="5"/>
        <v>548.10000000000014</v>
      </c>
    </row>
    <row r="178" spans="1:8" x14ac:dyDescent="0.35">
      <c r="A178" s="7">
        <v>45744</v>
      </c>
      <c r="B178" s="8" t="s">
        <v>13</v>
      </c>
      <c r="C178" s="8" t="s">
        <v>9</v>
      </c>
      <c r="D178" s="8">
        <v>15</v>
      </c>
      <c r="E178" s="9">
        <v>132.36000000000001</v>
      </c>
      <c r="F178" s="9">
        <v>80.91</v>
      </c>
      <c r="G178" s="9">
        <f t="shared" si="4"/>
        <v>1985.4</v>
      </c>
      <c r="H178" s="10">
        <f t="shared" si="5"/>
        <v>771.75000000000023</v>
      </c>
    </row>
    <row r="179" spans="1:8" x14ac:dyDescent="0.35">
      <c r="A179" s="11">
        <v>45745</v>
      </c>
      <c r="B179" s="12" t="s">
        <v>16</v>
      </c>
      <c r="C179" s="12" t="s">
        <v>12</v>
      </c>
      <c r="D179" s="12">
        <v>19</v>
      </c>
      <c r="E179" s="13">
        <v>256.20999999999998</v>
      </c>
      <c r="F179" s="13">
        <v>166.13</v>
      </c>
      <c r="G179" s="13">
        <f t="shared" si="4"/>
        <v>4867.99</v>
      </c>
      <c r="H179" s="14">
        <f t="shared" si="5"/>
        <v>1711.52</v>
      </c>
    </row>
    <row r="180" spans="1:8" x14ac:dyDescent="0.35">
      <c r="A180" s="7">
        <v>45746</v>
      </c>
      <c r="B180" s="8" t="s">
        <v>8</v>
      </c>
      <c r="C180" s="8" t="s">
        <v>17</v>
      </c>
      <c r="D180" s="8">
        <v>17</v>
      </c>
      <c r="E180" s="9">
        <v>183.38</v>
      </c>
      <c r="F180" s="9">
        <v>98.4</v>
      </c>
      <c r="G180" s="9">
        <f t="shared" si="4"/>
        <v>3117.46</v>
      </c>
      <c r="H180" s="10">
        <f t="shared" si="5"/>
        <v>1444.6599999999999</v>
      </c>
    </row>
    <row r="181" spans="1:8" x14ac:dyDescent="0.35">
      <c r="A181" s="11">
        <v>45747</v>
      </c>
      <c r="B181" s="12" t="s">
        <v>16</v>
      </c>
      <c r="C181" s="12" t="s">
        <v>19</v>
      </c>
      <c r="D181" s="12">
        <v>10</v>
      </c>
      <c r="E181" s="13">
        <v>246.64</v>
      </c>
      <c r="F181" s="13">
        <v>189.33</v>
      </c>
      <c r="G181" s="13">
        <f t="shared" si="4"/>
        <v>2466.3999999999996</v>
      </c>
      <c r="H181" s="14">
        <f t="shared" si="5"/>
        <v>573.09999999999945</v>
      </c>
    </row>
    <row r="182" spans="1:8" x14ac:dyDescent="0.35">
      <c r="A182" s="7">
        <v>45658</v>
      </c>
      <c r="B182" s="8" t="s">
        <v>16</v>
      </c>
      <c r="C182" s="8" t="s">
        <v>11</v>
      </c>
      <c r="D182" s="8">
        <v>5</v>
      </c>
      <c r="E182" s="9">
        <v>334.97</v>
      </c>
      <c r="F182" s="9">
        <v>267.08999999999997</v>
      </c>
      <c r="G182" s="9">
        <f t="shared" si="4"/>
        <v>1674.8500000000001</v>
      </c>
      <c r="H182" s="10">
        <f t="shared" si="5"/>
        <v>339.40000000000032</v>
      </c>
    </row>
    <row r="183" spans="1:8" x14ac:dyDescent="0.35">
      <c r="A183" s="11">
        <v>45659</v>
      </c>
      <c r="B183" s="12" t="s">
        <v>16</v>
      </c>
      <c r="C183" s="12" t="s">
        <v>12</v>
      </c>
      <c r="D183" s="12">
        <v>30</v>
      </c>
      <c r="E183" s="13">
        <v>793.04</v>
      </c>
      <c r="F183" s="13">
        <v>385.27</v>
      </c>
      <c r="G183" s="13">
        <f t="shared" si="4"/>
        <v>23791.199999999997</v>
      </c>
      <c r="H183" s="14">
        <f t="shared" si="5"/>
        <v>12233.099999999999</v>
      </c>
    </row>
    <row r="184" spans="1:8" x14ac:dyDescent="0.35">
      <c r="A184" s="7">
        <v>45660</v>
      </c>
      <c r="B184" s="8" t="s">
        <v>13</v>
      </c>
      <c r="C184" s="8" t="s">
        <v>19</v>
      </c>
      <c r="D184" s="8">
        <v>29</v>
      </c>
      <c r="E184" s="9">
        <v>734.07</v>
      </c>
      <c r="F184" s="9">
        <v>340.7</v>
      </c>
      <c r="G184" s="9">
        <f t="shared" si="4"/>
        <v>21288.030000000002</v>
      </c>
      <c r="H184" s="10">
        <f t="shared" si="5"/>
        <v>11407.730000000003</v>
      </c>
    </row>
    <row r="185" spans="1:8" x14ac:dyDescent="0.35">
      <c r="A185" s="11">
        <v>45661</v>
      </c>
      <c r="B185" s="12" t="s">
        <v>8</v>
      </c>
      <c r="C185" s="12" t="s">
        <v>19</v>
      </c>
      <c r="D185" s="12">
        <v>8</v>
      </c>
      <c r="E185" s="13">
        <v>68.8</v>
      </c>
      <c r="F185" s="13">
        <v>45.42</v>
      </c>
      <c r="G185" s="13">
        <f t="shared" si="4"/>
        <v>550.4</v>
      </c>
      <c r="H185" s="14">
        <f t="shared" si="5"/>
        <v>187.03999999999996</v>
      </c>
    </row>
    <row r="186" spans="1:8" x14ac:dyDescent="0.35">
      <c r="A186" s="7">
        <v>45662</v>
      </c>
      <c r="B186" s="8" t="s">
        <v>16</v>
      </c>
      <c r="C186" s="8" t="s">
        <v>12</v>
      </c>
      <c r="D186" s="8">
        <v>24</v>
      </c>
      <c r="E186" s="9">
        <v>424.76</v>
      </c>
      <c r="F186" s="9">
        <v>217.57</v>
      </c>
      <c r="G186" s="9">
        <f t="shared" si="4"/>
        <v>10194.24</v>
      </c>
      <c r="H186" s="10">
        <f t="shared" si="5"/>
        <v>4972.5599999999995</v>
      </c>
    </row>
    <row r="187" spans="1:8" x14ac:dyDescent="0.35">
      <c r="A187" s="11">
        <v>45663</v>
      </c>
      <c r="B187" s="12" t="s">
        <v>8</v>
      </c>
      <c r="C187" s="12" t="s">
        <v>14</v>
      </c>
      <c r="D187" s="12">
        <v>7</v>
      </c>
      <c r="E187" s="13">
        <v>520.84</v>
      </c>
      <c r="F187" s="13">
        <v>363.75</v>
      </c>
      <c r="G187" s="13">
        <f t="shared" si="4"/>
        <v>3645.88</v>
      </c>
      <c r="H187" s="14">
        <f t="shared" si="5"/>
        <v>1099.6300000000001</v>
      </c>
    </row>
    <row r="188" spans="1:8" x14ac:dyDescent="0.35">
      <c r="A188" s="7">
        <v>45664</v>
      </c>
      <c r="B188" s="8" t="s">
        <v>8</v>
      </c>
      <c r="C188" s="8" t="s">
        <v>19</v>
      </c>
      <c r="D188" s="8">
        <v>3</v>
      </c>
      <c r="E188" s="9">
        <v>313.91000000000003</v>
      </c>
      <c r="F188" s="9">
        <v>156.79</v>
      </c>
      <c r="G188" s="9">
        <f t="shared" si="4"/>
        <v>941.73</v>
      </c>
      <c r="H188" s="10">
        <f t="shared" si="5"/>
        <v>471.36</v>
      </c>
    </row>
    <row r="189" spans="1:8" x14ac:dyDescent="0.35">
      <c r="A189" s="11">
        <v>45665</v>
      </c>
      <c r="B189" s="12" t="s">
        <v>16</v>
      </c>
      <c r="C189" s="12" t="s">
        <v>17</v>
      </c>
      <c r="D189" s="12">
        <v>3</v>
      </c>
      <c r="E189" s="13">
        <v>491.56</v>
      </c>
      <c r="F189" s="13">
        <v>333.31</v>
      </c>
      <c r="G189" s="13">
        <f t="shared" si="4"/>
        <v>1474.68</v>
      </c>
      <c r="H189" s="14">
        <f t="shared" si="5"/>
        <v>474.75</v>
      </c>
    </row>
    <row r="190" spans="1:8" x14ac:dyDescent="0.35">
      <c r="A190" s="7">
        <v>45666</v>
      </c>
      <c r="B190" s="8" t="s">
        <v>16</v>
      </c>
      <c r="C190" s="8" t="s">
        <v>14</v>
      </c>
      <c r="D190" s="8">
        <v>21</v>
      </c>
      <c r="E190" s="9">
        <v>344.93</v>
      </c>
      <c r="F190" s="9">
        <v>200.11</v>
      </c>
      <c r="G190" s="9">
        <f t="shared" si="4"/>
        <v>7243.53</v>
      </c>
      <c r="H190" s="10">
        <f t="shared" si="5"/>
        <v>3041.2199999999993</v>
      </c>
    </row>
    <row r="191" spans="1:8" x14ac:dyDescent="0.35">
      <c r="A191" s="11">
        <v>45667</v>
      </c>
      <c r="B191" s="12" t="s">
        <v>8</v>
      </c>
      <c r="C191" s="12" t="s">
        <v>12</v>
      </c>
      <c r="D191" s="12">
        <v>14</v>
      </c>
      <c r="E191" s="13">
        <v>54.23</v>
      </c>
      <c r="F191" s="13">
        <v>33.81</v>
      </c>
      <c r="G191" s="13">
        <f t="shared" si="4"/>
        <v>759.21999999999991</v>
      </c>
      <c r="H191" s="14">
        <f t="shared" si="5"/>
        <v>285.87999999999988</v>
      </c>
    </row>
    <row r="192" spans="1:8" x14ac:dyDescent="0.35">
      <c r="A192" s="7">
        <v>45668</v>
      </c>
      <c r="B192" s="8" t="s">
        <v>13</v>
      </c>
      <c r="C192" s="8" t="s">
        <v>12</v>
      </c>
      <c r="D192" s="8">
        <v>27</v>
      </c>
      <c r="E192" s="9">
        <v>108.07</v>
      </c>
      <c r="F192" s="9">
        <v>63.58</v>
      </c>
      <c r="G192" s="9">
        <f t="shared" si="4"/>
        <v>2917.89</v>
      </c>
      <c r="H192" s="10">
        <f t="shared" si="5"/>
        <v>1201.23</v>
      </c>
    </row>
    <row r="193" spans="1:8" x14ac:dyDescent="0.35">
      <c r="A193" s="11">
        <v>45669</v>
      </c>
      <c r="B193" s="12" t="s">
        <v>16</v>
      </c>
      <c r="C193" s="12" t="s">
        <v>12</v>
      </c>
      <c r="D193" s="12">
        <v>11</v>
      </c>
      <c r="E193" s="13">
        <v>336.28</v>
      </c>
      <c r="F193" s="13">
        <v>183.24</v>
      </c>
      <c r="G193" s="13">
        <f t="shared" si="4"/>
        <v>3699.08</v>
      </c>
      <c r="H193" s="14">
        <f t="shared" si="5"/>
        <v>1683.4399999999998</v>
      </c>
    </row>
    <row r="194" spans="1:8" x14ac:dyDescent="0.35">
      <c r="A194" s="7">
        <v>45670</v>
      </c>
      <c r="B194" s="8" t="s">
        <v>8</v>
      </c>
      <c r="C194" s="8" t="s">
        <v>17</v>
      </c>
      <c r="D194" s="8">
        <v>27</v>
      </c>
      <c r="E194" s="9">
        <v>763.96</v>
      </c>
      <c r="F194" s="9">
        <v>427.3</v>
      </c>
      <c r="G194" s="9">
        <f t="shared" ref="G194:G257" si="6">D194*E194</f>
        <v>20626.920000000002</v>
      </c>
      <c r="H194" s="10">
        <f t="shared" ref="H194:H257" si="7">G194-D194*F194</f>
        <v>9089.8200000000015</v>
      </c>
    </row>
    <row r="195" spans="1:8" x14ac:dyDescent="0.35">
      <c r="A195" s="11">
        <v>45671</v>
      </c>
      <c r="B195" s="12" t="s">
        <v>8</v>
      </c>
      <c r="C195" s="12" t="s">
        <v>15</v>
      </c>
      <c r="D195" s="12">
        <v>27</v>
      </c>
      <c r="E195" s="13">
        <v>44.02</v>
      </c>
      <c r="F195" s="13">
        <v>31.62</v>
      </c>
      <c r="G195" s="13">
        <f t="shared" si="6"/>
        <v>1188.5400000000002</v>
      </c>
      <c r="H195" s="14">
        <f t="shared" si="7"/>
        <v>334.80000000000018</v>
      </c>
    </row>
    <row r="196" spans="1:8" x14ac:dyDescent="0.35">
      <c r="A196" s="7">
        <v>45672</v>
      </c>
      <c r="B196" s="8" t="s">
        <v>8</v>
      </c>
      <c r="C196" s="8" t="s">
        <v>19</v>
      </c>
      <c r="D196" s="8">
        <v>26</v>
      </c>
      <c r="E196" s="9">
        <v>590.58000000000004</v>
      </c>
      <c r="F196" s="9">
        <v>307.86</v>
      </c>
      <c r="G196" s="9">
        <f t="shared" si="6"/>
        <v>15355.080000000002</v>
      </c>
      <c r="H196" s="10">
        <f t="shared" si="7"/>
        <v>7350.7200000000012</v>
      </c>
    </row>
    <row r="197" spans="1:8" x14ac:dyDescent="0.35">
      <c r="A197" s="11">
        <v>45673</v>
      </c>
      <c r="B197" s="12" t="s">
        <v>10</v>
      </c>
      <c r="C197" s="12" t="s">
        <v>15</v>
      </c>
      <c r="D197" s="12">
        <v>11</v>
      </c>
      <c r="E197" s="13">
        <v>356.29</v>
      </c>
      <c r="F197" s="13">
        <v>262.63</v>
      </c>
      <c r="G197" s="13">
        <f t="shared" si="6"/>
        <v>3919.19</v>
      </c>
      <c r="H197" s="14">
        <f t="shared" si="7"/>
        <v>1030.2600000000002</v>
      </c>
    </row>
    <row r="198" spans="1:8" x14ac:dyDescent="0.35">
      <c r="A198" s="7">
        <v>45674</v>
      </c>
      <c r="B198" s="8" t="s">
        <v>13</v>
      </c>
      <c r="C198" s="8" t="s">
        <v>11</v>
      </c>
      <c r="D198" s="8">
        <v>30</v>
      </c>
      <c r="E198" s="9">
        <v>625.25</v>
      </c>
      <c r="F198" s="9">
        <v>309.81</v>
      </c>
      <c r="G198" s="9">
        <f t="shared" si="6"/>
        <v>18757.5</v>
      </c>
      <c r="H198" s="10">
        <f t="shared" si="7"/>
        <v>9463.2000000000007</v>
      </c>
    </row>
    <row r="199" spans="1:8" x14ac:dyDescent="0.35">
      <c r="A199" s="11">
        <v>45675</v>
      </c>
      <c r="B199" s="12" t="s">
        <v>10</v>
      </c>
      <c r="C199" s="12" t="s">
        <v>9</v>
      </c>
      <c r="D199" s="12">
        <v>26</v>
      </c>
      <c r="E199" s="13">
        <v>98.55</v>
      </c>
      <c r="F199" s="13">
        <v>65.81</v>
      </c>
      <c r="G199" s="13">
        <f t="shared" si="6"/>
        <v>2562.2999999999997</v>
      </c>
      <c r="H199" s="14">
        <f t="shared" si="7"/>
        <v>851.23999999999978</v>
      </c>
    </row>
    <row r="200" spans="1:8" x14ac:dyDescent="0.35">
      <c r="A200" s="7">
        <v>45676</v>
      </c>
      <c r="B200" s="8" t="s">
        <v>8</v>
      </c>
      <c r="C200" s="8" t="s">
        <v>9</v>
      </c>
      <c r="D200" s="8">
        <v>10</v>
      </c>
      <c r="E200" s="9">
        <v>297.92</v>
      </c>
      <c r="F200" s="9">
        <v>150.94</v>
      </c>
      <c r="G200" s="9">
        <f t="shared" si="6"/>
        <v>2979.2000000000003</v>
      </c>
      <c r="H200" s="10">
        <f t="shared" si="7"/>
        <v>1469.8000000000002</v>
      </c>
    </row>
    <row r="201" spans="1:8" x14ac:dyDescent="0.35">
      <c r="A201" s="11">
        <v>45677</v>
      </c>
      <c r="B201" s="12" t="s">
        <v>16</v>
      </c>
      <c r="C201" s="12" t="s">
        <v>12</v>
      </c>
      <c r="D201" s="12">
        <v>7</v>
      </c>
      <c r="E201" s="13">
        <v>325.48</v>
      </c>
      <c r="F201" s="13">
        <v>232.31</v>
      </c>
      <c r="G201" s="13">
        <f t="shared" si="6"/>
        <v>2278.36</v>
      </c>
      <c r="H201" s="14">
        <f t="shared" si="7"/>
        <v>652.19000000000005</v>
      </c>
    </row>
    <row r="202" spans="1:8" x14ac:dyDescent="0.35">
      <c r="A202" s="7">
        <v>45678</v>
      </c>
      <c r="B202" s="8" t="s">
        <v>16</v>
      </c>
      <c r="C202" s="8" t="s">
        <v>17</v>
      </c>
      <c r="D202" s="8">
        <v>9</v>
      </c>
      <c r="E202" s="9">
        <v>674.72</v>
      </c>
      <c r="F202" s="9">
        <v>313.89999999999998</v>
      </c>
      <c r="G202" s="9">
        <f t="shared" si="6"/>
        <v>6072.4800000000005</v>
      </c>
      <c r="H202" s="10">
        <f t="shared" si="7"/>
        <v>3247.3800000000006</v>
      </c>
    </row>
    <row r="203" spans="1:8" x14ac:dyDescent="0.35">
      <c r="A203" s="11">
        <v>45679</v>
      </c>
      <c r="B203" s="12" t="s">
        <v>13</v>
      </c>
      <c r="C203" s="12" t="s">
        <v>11</v>
      </c>
      <c r="D203" s="12">
        <v>4</v>
      </c>
      <c r="E203" s="13">
        <v>497.89</v>
      </c>
      <c r="F203" s="13">
        <v>334.94</v>
      </c>
      <c r="G203" s="13">
        <f t="shared" si="6"/>
        <v>1991.56</v>
      </c>
      <c r="H203" s="14">
        <f t="shared" si="7"/>
        <v>651.79999999999995</v>
      </c>
    </row>
    <row r="204" spans="1:8" x14ac:dyDescent="0.35">
      <c r="A204" s="7">
        <v>45680</v>
      </c>
      <c r="B204" s="8" t="s">
        <v>10</v>
      </c>
      <c r="C204" s="8" t="s">
        <v>9</v>
      </c>
      <c r="D204" s="8">
        <v>15</v>
      </c>
      <c r="E204" s="9">
        <v>508.21</v>
      </c>
      <c r="F204" s="9">
        <v>338.04</v>
      </c>
      <c r="G204" s="9">
        <f t="shared" si="6"/>
        <v>7623.15</v>
      </c>
      <c r="H204" s="10">
        <f t="shared" si="7"/>
        <v>2552.5499999999993</v>
      </c>
    </row>
    <row r="205" spans="1:8" x14ac:dyDescent="0.35">
      <c r="A205" s="11">
        <v>45681</v>
      </c>
      <c r="B205" s="12" t="s">
        <v>16</v>
      </c>
      <c r="C205" s="12" t="s">
        <v>18</v>
      </c>
      <c r="D205" s="12">
        <v>12</v>
      </c>
      <c r="E205" s="13">
        <v>465.38</v>
      </c>
      <c r="F205" s="13">
        <v>216.22</v>
      </c>
      <c r="G205" s="13">
        <f t="shared" si="6"/>
        <v>5584.5599999999995</v>
      </c>
      <c r="H205" s="14">
        <f t="shared" si="7"/>
        <v>2989.9199999999996</v>
      </c>
    </row>
    <row r="206" spans="1:8" x14ac:dyDescent="0.35">
      <c r="A206" s="7">
        <v>45682</v>
      </c>
      <c r="B206" s="8" t="s">
        <v>16</v>
      </c>
      <c r="C206" s="8" t="s">
        <v>15</v>
      </c>
      <c r="D206" s="8">
        <v>23</v>
      </c>
      <c r="E206" s="9">
        <v>124.75</v>
      </c>
      <c r="F206" s="9">
        <v>66.92</v>
      </c>
      <c r="G206" s="9">
        <f t="shared" si="6"/>
        <v>2869.25</v>
      </c>
      <c r="H206" s="10">
        <f t="shared" si="7"/>
        <v>1330.09</v>
      </c>
    </row>
    <row r="207" spans="1:8" x14ac:dyDescent="0.35">
      <c r="A207" s="11">
        <v>45683</v>
      </c>
      <c r="B207" s="12" t="s">
        <v>16</v>
      </c>
      <c r="C207" s="12" t="s">
        <v>14</v>
      </c>
      <c r="D207" s="12">
        <v>36</v>
      </c>
      <c r="E207" s="13">
        <v>678.71</v>
      </c>
      <c r="F207" s="13">
        <v>465.11</v>
      </c>
      <c r="G207" s="13">
        <f t="shared" si="6"/>
        <v>24433.56</v>
      </c>
      <c r="H207" s="14">
        <f t="shared" si="7"/>
        <v>7689.6000000000022</v>
      </c>
    </row>
    <row r="208" spans="1:8" x14ac:dyDescent="0.35">
      <c r="A208" s="7">
        <v>45684</v>
      </c>
      <c r="B208" s="8" t="s">
        <v>8</v>
      </c>
      <c r="C208" s="8" t="s">
        <v>12</v>
      </c>
      <c r="D208" s="8">
        <v>25</v>
      </c>
      <c r="E208" s="9">
        <v>491.63</v>
      </c>
      <c r="F208" s="9">
        <v>315.88</v>
      </c>
      <c r="G208" s="9">
        <f t="shared" si="6"/>
        <v>12290.75</v>
      </c>
      <c r="H208" s="10">
        <f t="shared" si="7"/>
        <v>4393.75</v>
      </c>
    </row>
    <row r="209" spans="1:8" x14ac:dyDescent="0.35">
      <c r="A209" s="11">
        <v>45685</v>
      </c>
      <c r="B209" s="12" t="s">
        <v>8</v>
      </c>
      <c r="C209" s="12" t="s">
        <v>15</v>
      </c>
      <c r="D209" s="12">
        <v>20</v>
      </c>
      <c r="E209" s="13">
        <v>478.62</v>
      </c>
      <c r="F209" s="13">
        <v>286.7</v>
      </c>
      <c r="G209" s="13">
        <f t="shared" si="6"/>
        <v>9572.4</v>
      </c>
      <c r="H209" s="14">
        <f t="shared" si="7"/>
        <v>3838.3999999999996</v>
      </c>
    </row>
    <row r="210" spans="1:8" x14ac:dyDescent="0.35">
      <c r="A210" s="7">
        <v>45686</v>
      </c>
      <c r="B210" s="8" t="s">
        <v>8</v>
      </c>
      <c r="C210" s="8" t="s">
        <v>18</v>
      </c>
      <c r="D210" s="8">
        <v>33</v>
      </c>
      <c r="E210" s="9">
        <v>367.53</v>
      </c>
      <c r="F210" s="9">
        <v>168.4</v>
      </c>
      <c r="G210" s="9">
        <f t="shared" si="6"/>
        <v>12128.49</v>
      </c>
      <c r="H210" s="10">
        <f t="shared" si="7"/>
        <v>6571.29</v>
      </c>
    </row>
    <row r="211" spans="1:8" x14ac:dyDescent="0.35">
      <c r="A211" s="11">
        <v>45687</v>
      </c>
      <c r="B211" s="12" t="s">
        <v>13</v>
      </c>
      <c r="C211" s="12" t="s">
        <v>18</v>
      </c>
      <c r="D211" s="12">
        <v>16</v>
      </c>
      <c r="E211" s="13">
        <v>374.05</v>
      </c>
      <c r="F211" s="13">
        <v>249.3</v>
      </c>
      <c r="G211" s="13">
        <f t="shared" si="6"/>
        <v>5984.8</v>
      </c>
      <c r="H211" s="14">
        <f t="shared" si="7"/>
        <v>1996</v>
      </c>
    </row>
    <row r="212" spans="1:8" x14ac:dyDescent="0.35">
      <c r="A212" s="7">
        <v>45688</v>
      </c>
      <c r="B212" s="8" t="s">
        <v>13</v>
      </c>
      <c r="C212" s="8" t="s">
        <v>9</v>
      </c>
      <c r="D212" s="8">
        <v>31</v>
      </c>
      <c r="E212" s="9">
        <v>338.26</v>
      </c>
      <c r="F212" s="9">
        <v>160.16</v>
      </c>
      <c r="G212" s="9">
        <f t="shared" si="6"/>
        <v>10486.06</v>
      </c>
      <c r="H212" s="10">
        <f t="shared" si="7"/>
        <v>5521.0999999999995</v>
      </c>
    </row>
    <row r="213" spans="1:8" x14ac:dyDescent="0.35">
      <c r="A213" s="11">
        <v>45689</v>
      </c>
      <c r="B213" s="12" t="s">
        <v>8</v>
      </c>
      <c r="C213" s="12" t="s">
        <v>15</v>
      </c>
      <c r="D213" s="12">
        <v>24</v>
      </c>
      <c r="E213" s="13">
        <v>100.62</v>
      </c>
      <c r="F213" s="13">
        <v>60.84</v>
      </c>
      <c r="G213" s="13">
        <f t="shared" si="6"/>
        <v>2414.88</v>
      </c>
      <c r="H213" s="14">
        <f t="shared" si="7"/>
        <v>954.72</v>
      </c>
    </row>
    <row r="214" spans="1:8" x14ac:dyDescent="0.35">
      <c r="A214" s="7">
        <v>45690</v>
      </c>
      <c r="B214" s="8" t="s">
        <v>10</v>
      </c>
      <c r="C214" s="8" t="s">
        <v>14</v>
      </c>
      <c r="D214" s="8">
        <v>9</v>
      </c>
      <c r="E214" s="9">
        <v>93.33</v>
      </c>
      <c r="F214" s="9">
        <v>65.959999999999994</v>
      </c>
      <c r="G214" s="9">
        <f t="shared" si="6"/>
        <v>839.97</v>
      </c>
      <c r="H214" s="10">
        <f t="shared" si="7"/>
        <v>246.33000000000004</v>
      </c>
    </row>
    <row r="215" spans="1:8" x14ac:dyDescent="0.35">
      <c r="A215" s="11">
        <v>45691</v>
      </c>
      <c r="B215" s="12" t="s">
        <v>10</v>
      </c>
      <c r="C215" s="12" t="s">
        <v>14</v>
      </c>
      <c r="D215" s="12">
        <v>33</v>
      </c>
      <c r="E215" s="13">
        <v>719.05</v>
      </c>
      <c r="F215" s="13">
        <v>487.85</v>
      </c>
      <c r="G215" s="13">
        <f t="shared" si="6"/>
        <v>23728.649999999998</v>
      </c>
      <c r="H215" s="14">
        <f t="shared" si="7"/>
        <v>7629.5999999999967</v>
      </c>
    </row>
    <row r="216" spans="1:8" x14ac:dyDescent="0.35">
      <c r="A216" s="7">
        <v>45692</v>
      </c>
      <c r="B216" s="8" t="s">
        <v>16</v>
      </c>
      <c r="C216" s="8" t="s">
        <v>14</v>
      </c>
      <c r="D216" s="8">
        <v>5</v>
      </c>
      <c r="E216" s="9">
        <v>797.02</v>
      </c>
      <c r="F216" s="9">
        <v>562.88</v>
      </c>
      <c r="G216" s="9">
        <f t="shared" si="6"/>
        <v>3985.1</v>
      </c>
      <c r="H216" s="10">
        <f t="shared" si="7"/>
        <v>1170.6999999999998</v>
      </c>
    </row>
    <row r="217" spans="1:8" x14ac:dyDescent="0.35">
      <c r="A217" s="11">
        <v>45693</v>
      </c>
      <c r="B217" s="12" t="s">
        <v>10</v>
      </c>
      <c r="C217" s="12" t="s">
        <v>19</v>
      </c>
      <c r="D217" s="12">
        <v>9</v>
      </c>
      <c r="E217" s="13">
        <v>785.93</v>
      </c>
      <c r="F217" s="13">
        <v>488.97</v>
      </c>
      <c r="G217" s="13">
        <f t="shared" si="6"/>
        <v>7073.37</v>
      </c>
      <c r="H217" s="14">
        <f t="shared" si="7"/>
        <v>2672.6399999999994</v>
      </c>
    </row>
    <row r="218" spans="1:8" x14ac:dyDescent="0.35">
      <c r="A218" s="7">
        <v>45694</v>
      </c>
      <c r="B218" s="8" t="s">
        <v>16</v>
      </c>
      <c r="C218" s="8" t="s">
        <v>19</v>
      </c>
      <c r="D218" s="8">
        <v>5</v>
      </c>
      <c r="E218" s="9">
        <v>671.44</v>
      </c>
      <c r="F218" s="9">
        <v>445.6</v>
      </c>
      <c r="G218" s="9">
        <f t="shared" si="6"/>
        <v>3357.2000000000003</v>
      </c>
      <c r="H218" s="10">
        <f t="shared" si="7"/>
        <v>1129.2000000000003</v>
      </c>
    </row>
    <row r="219" spans="1:8" x14ac:dyDescent="0.35">
      <c r="A219" s="11">
        <v>45695</v>
      </c>
      <c r="B219" s="12" t="s">
        <v>8</v>
      </c>
      <c r="C219" s="12" t="s">
        <v>9</v>
      </c>
      <c r="D219" s="12">
        <v>21</v>
      </c>
      <c r="E219" s="13">
        <v>720.33</v>
      </c>
      <c r="F219" s="13">
        <v>393.48</v>
      </c>
      <c r="G219" s="13">
        <f t="shared" si="6"/>
        <v>15126.93</v>
      </c>
      <c r="H219" s="14">
        <f t="shared" si="7"/>
        <v>6863.85</v>
      </c>
    </row>
    <row r="220" spans="1:8" x14ac:dyDescent="0.35">
      <c r="A220" s="7">
        <v>45696</v>
      </c>
      <c r="B220" s="8" t="s">
        <v>13</v>
      </c>
      <c r="C220" s="8" t="s">
        <v>9</v>
      </c>
      <c r="D220" s="8">
        <v>17</v>
      </c>
      <c r="E220" s="9">
        <v>416.71</v>
      </c>
      <c r="F220" s="9">
        <v>321.69</v>
      </c>
      <c r="G220" s="9">
        <f t="shared" si="6"/>
        <v>7084.07</v>
      </c>
      <c r="H220" s="10">
        <f t="shared" si="7"/>
        <v>1615.3400000000001</v>
      </c>
    </row>
    <row r="221" spans="1:8" x14ac:dyDescent="0.35">
      <c r="A221" s="11">
        <v>45697</v>
      </c>
      <c r="B221" s="12" t="s">
        <v>16</v>
      </c>
      <c r="C221" s="12" t="s">
        <v>17</v>
      </c>
      <c r="D221" s="12">
        <v>40</v>
      </c>
      <c r="E221" s="13">
        <v>419.63</v>
      </c>
      <c r="F221" s="13">
        <v>235.7</v>
      </c>
      <c r="G221" s="13">
        <f t="shared" si="6"/>
        <v>16785.2</v>
      </c>
      <c r="H221" s="14">
        <f t="shared" si="7"/>
        <v>7357.2000000000007</v>
      </c>
    </row>
    <row r="222" spans="1:8" x14ac:dyDescent="0.35">
      <c r="A222" s="7">
        <v>45698</v>
      </c>
      <c r="B222" s="8" t="s">
        <v>10</v>
      </c>
      <c r="C222" s="8" t="s">
        <v>19</v>
      </c>
      <c r="D222" s="8">
        <v>12</v>
      </c>
      <c r="E222" s="9">
        <v>340.67</v>
      </c>
      <c r="F222" s="9">
        <v>229.2</v>
      </c>
      <c r="G222" s="9">
        <f t="shared" si="6"/>
        <v>4088.04</v>
      </c>
      <c r="H222" s="10">
        <f t="shared" si="7"/>
        <v>1337.6400000000003</v>
      </c>
    </row>
    <row r="223" spans="1:8" x14ac:dyDescent="0.35">
      <c r="A223" s="11">
        <v>45699</v>
      </c>
      <c r="B223" s="12" t="s">
        <v>8</v>
      </c>
      <c r="C223" s="12" t="s">
        <v>11</v>
      </c>
      <c r="D223" s="12">
        <v>25</v>
      </c>
      <c r="E223" s="13">
        <v>159.93</v>
      </c>
      <c r="F223" s="13">
        <v>115.9</v>
      </c>
      <c r="G223" s="13">
        <f t="shared" si="6"/>
        <v>3998.25</v>
      </c>
      <c r="H223" s="14">
        <f t="shared" si="7"/>
        <v>1100.75</v>
      </c>
    </row>
    <row r="224" spans="1:8" x14ac:dyDescent="0.35">
      <c r="A224" s="7">
        <v>45700</v>
      </c>
      <c r="B224" s="8" t="s">
        <v>10</v>
      </c>
      <c r="C224" s="8" t="s">
        <v>14</v>
      </c>
      <c r="D224" s="8">
        <v>24</v>
      </c>
      <c r="E224" s="9">
        <v>773.94</v>
      </c>
      <c r="F224" s="9">
        <v>470.99</v>
      </c>
      <c r="G224" s="9">
        <f t="shared" si="6"/>
        <v>18574.560000000001</v>
      </c>
      <c r="H224" s="10">
        <f t="shared" si="7"/>
        <v>7270.8000000000011</v>
      </c>
    </row>
    <row r="225" spans="1:8" x14ac:dyDescent="0.35">
      <c r="A225" s="11">
        <v>45701</v>
      </c>
      <c r="B225" s="12" t="s">
        <v>10</v>
      </c>
      <c r="C225" s="12" t="s">
        <v>17</v>
      </c>
      <c r="D225" s="12">
        <v>35</v>
      </c>
      <c r="E225" s="13">
        <v>514.92999999999995</v>
      </c>
      <c r="F225" s="13">
        <v>302.77</v>
      </c>
      <c r="G225" s="13">
        <f t="shared" si="6"/>
        <v>18022.55</v>
      </c>
      <c r="H225" s="14">
        <f t="shared" si="7"/>
        <v>7425.6</v>
      </c>
    </row>
    <row r="226" spans="1:8" x14ac:dyDescent="0.35">
      <c r="A226" s="7">
        <v>45702</v>
      </c>
      <c r="B226" s="8" t="s">
        <v>8</v>
      </c>
      <c r="C226" s="8" t="s">
        <v>17</v>
      </c>
      <c r="D226" s="8">
        <v>25</v>
      </c>
      <c r="E226" s="9">
        <v>792.68</v>
      </c>
      <c r="F226" s="9">
        <v>516.89</v>
      </c>
      <c r="G226" s="9">
        <f t="shared" si="6"/>
        <v>19817</v>
      </c>
      <c r="H226" s="10">
        <f t="shared" si="7"/>
        <v>6894.75</v>
      </c>
    </row>
    <row r="227" spans="1:8" x14ac:dyDescent="0.35">
      <c r="A227" s="11">
        <v>45703</v>
      </c>
      <c r="B227" s="12" t="s">
        <v>8</v>
      </c>
      <c r="C227" s="12" t="s">
        <v>11</v>
      </c>
      <c r="D227" s="12">
        <v>6</v>
      </c>
      <c r="E227" s="13">
        <v>370.56</v>
      </c>
      <c r="F227" s="13">
        <v>189.68</v>
      </c>
      <c r="G227" s="13">
        <f t="shared" si="6"/>
        <v>2223.36</v>
      </c>
      <c r="H227" s="14">
        <f t="shared" si="7"/>
        <v>1085.2800000000002</v>
      </c>
    </row>
    <row r="228" spans="1:8" x14ac:dyDescent="0.35">
      <c r="A228" s="7">
        <v>45704</v>
      </c>
      <c r="B228" s="8" t="s">
        <v>10</v>
      </c>
      <c r="C228" s="8" t="s">
        <v>17</v>
      </c>
      <c r="D228" s="8">
        <v>34</v>
      </c>
      <c r="E228" s="9">
        <v>225.31</v>
      </c>
      <c r="F228" s="9">
        <v>151.80000000000001</v>
      </c>
      <c r="G228" s="9">
        <f t="shared" si="6"/>
        <v>7660.54</v>
      </c>
      <c r="H228" s="10">
        <f t="shared" si="7"/>
        <v>2499.3399999999992</v>
      </c>
    </row>
    <row r="229" spans="1:8" x14ac:dyDescent="0.35">
      <c r="A229" s="11">
        <v>45705</v>
      </c>
      <c r="B229" s="12" t="s">
        <v>8</v>
      </c>
      <c r="C229" s="12" t="s">
        <v>14</v>
      </c>
      <c r="D229" s="12">
        <v>3</v>
      </c>
      <c r="E229" s="13">
        <v>200.66</v>
      </c>
      <c r="F229" s="13">
        <v>110.73</v>
      </c>
      <c r="G229" s="13">
        <f t="shared" si="6"/>
        <v>601.98</v>
      </c>
      <c r="H229" s="14">
        <f t="shared" si="7"/>
        <v>269.79000000000002</v>
      </c>
    </row>
    <row r="230" spans="1:8" x14ac:dyDescent="0.35">
      <c r="A230" s="7">
        <v>45706</v>
      </c>
      <c r="B230" s="8" t="s">
        <v>13</v>
      </c>
      <c r="C230" s="8" t="s">
        <v>15</v>
      </c>
      <c r="D230" s="8">
        <v>33</v>
      </c>
      <c r="E230" s="9">
        <v>310.36</v>
      </c>
      <c r="F230" s="9">
        <v>144.85</v>
      </c>
      <c r="G230" s="9">
        <f t="shared" si="6"/>
        <v>10241.880000000001</v>
      </c>
      <c r="H230" s="10">
        <f t="shared" si="7"/>
        <v>5461.8300000000008</v>
      </c>
    </row>
    <row r="231" spans="1:8" x14ac:dyDescent="0.35">
      <c r="A231" s="11">
        <v>45707</v>
      </c>
      <c r="B231" s="12" t="s">
        <v>13</v>
      </c>
      <c r="C231" s="12" t="s">
        <v>19</v>
      </c>
      <c r="D231" s="12">
        <v>40</v>
      </c>
      <c r="E231" s="13">
        <v>532.89</v>
      </c>
      <c r="F231" s="13">
        <v>243.96</v>
      </c>
      <c r="G231" s="13">
        <f t="shared" si="6"/>
        <v>21315.599999999999</v>
      </c>
      <c r="H231" s="14">
        <f t="shared" si="7"/>
        <v>11557.199999999999</v>
      </c>
    </row>
    <row r="232" spans="1:8" x14ac:dyDescent="0.35">
      <c r="A232" s="7">
        <v>45708</v>
      </c>
      <c r="B232" s="8" t="s">
        <v>10</v>
      </c>
      <c r="C232" s="8" t="s">
        <v>11</v>
      </c>
      <c r="D232" s="8">
        <v>20</v>
      </c>
      <c r="E232" s="9">
        <v>111.9</v>
      </c>
      <c r="F232" s="9">
        <v>64.34</v>
      </c>
      <c r="G232" s="9">
        <f t="shared" si="6"/>
        <v>2238</v>
      </c>
      <c r="H232" s="10">
        <f t="shared" si="7"/>
        <v>951.19999999999982</v>
      </c>
    </row>
    <row r="233" spans="1:8" x14ac:dyDescent="0.35">
      <c r="A233" s="11">
        <v>45709</v>
      </c>
      <c r="B233" s="12" t="s">
        <v>16</v>
      </c>
      <c r="C233" s="12" t="s">
        <v>15</v>
      </c>
      <c r="D233" s="12">
        <v>38</v>
      </c>
      <c r="E233" s="13">
        <v>261.89</v>
      </c>
      <c r="F233" s="13">
        <v>130.11000000000001</v>
      </c>
      <c r="G233" s="13">
        <f t="shared" si="6"/>
        <v>9951.82</v>
      </c>
      <c r="H233" s="14">
        <f t="shared" si="7"/>
        <v>5007.6399999999994</v>
      </c>
    </row>
    <row r="234" spans="1:8" x14ac:dyDescent="0.35">
      <c r="A234" s="7">
        <v>45710</v>
      </c>
      <c r="B234" s="8" t="s">
        <v>8</v>
      </c>
      <c r="C234" s="8" t="s">
        <v>18</v>
      </c>
      <c r="D234" s="8">
        <v>11</v>
      </c>
      <c r="E234" s="9">
        <v>133.76</v>
      </c>
      <c r="F234" s="9">
        <v>104.04</v>
      </c>
      <c r="G234" s="9">
        <f t="shared" si="6"/>
        <v>1471.36</v>
      </c>
      <c r="H234" s="10">
        <f t="shared" si="7"/>
        <v>326.91999999999985</v>
      </c>
    </row>
    <row r="235" spans="1:8" x14ac:dyDescent="0.35">
      <c r="A235" s="11">
        <v>45711</v>
      </c>
      <c r="B235" s="12" t="s">
        <v>16</v>
      </c>
      <c r="C235" s="12" t="s">
        <v>9</v>
      </c>
      <c r="D235" s="12">
        <v>29</v>
      </c>
      <c r="E235" s="13">
        <v>103.77</v>
      </c>
      <c r="F235" s="13">
        <v>69.88</v>
      </c>
      <c r="G235" s="13">
        <f t="shared" si="6"/>
        <v>3009.33</v>
      </c>
      <c r="H235" s="14">
        <f t="shared" si="7"/>
        <v>982.81</v>
      </c>
    </row>
    <row r="236" spans="1:8" x14ac:dyDescent="0.35">
      <c r="A236" s="7">
        <v>45712</v>
      </c>
      <c r="B236" s="8" t="s">
        <v>8</v>
      </c>
      <c r="C236" s="8" t="s">
        <v>15</v>
      </c>
      <c r="D236" s="8">
        <v>17</v>
      </c>
      <c r="E236" s="9">
        <v>774.69</v>
      </c>
      <c r="F236" s="9">
        <v>363.83</v>
      </c>
      <c r="G236" s="9">
        <f t="shared" si="6"/>
        <v>13169.730000000001</v>
      </c>
      <c r="H236" s="10">
        <f t="shared" si="7"/>
        <v>6984.6200000000017</v>
      </c>
    </row>
    <row r="237" spans="1:8" x14ac:dyDescent="0.35">
      <c r="A237" s="11">
        <v>45713</v>
      </c>
      <c r="B237" s="12" t="s">
        <v>8</v>
      </c>
      <c r="C237" s="12" t="s">
        <v>18</v>
      </c>
      <c r="D237" s="12">
        <v>39</v>
      </c>
      <c r="E237" s="13">
        <v>751.61</v>
      </c>
      <c r="F237" s="13">
        <v>531.19000000000005</v>
      </c>
      <c r="G237" s="13">
        <f t="shared" si="6"/>
        <v>29312.79</v>
      </c>
      <c r="H237" s="14">
        <f t="shared" si="7"/>
        <v>8596.3799999999974</v>
      </c>
    </row>
    <row r="238" spans="1:8" x14ac:dyDescent="0.35">
      <c r="A238" s="7">
        <v>45714</v>
      </c>
      <c r="B238" s="8" t="s">
        <v>16</v>
      </c>
      <c r="C238" s="8" t="s">
        <v>9</v>
      </c>
      <c r="D238" s="8">
        <v>1</v>
      </c>
      <c r="E238" s="9">
        <v>63.88</v>
      </c>
      <c r="F238" s="9">
        <v>40.630000000000003</v>
      </c>
      <c r="G238" s="9">
        <f t="shared" si="6"/>
        <v>63.88</v>
      </c>
      <c r="H238" s="10">
        <f t="shared" si="7"/>
        <v>23.25</v>
      </c>
    </row>
    <row r="239" spans="1:8" x14ac:dyDescent="0.35">
      <c r="A239" s="11">
        <v>45715</v>
      </c>
      <c r="B239" s="12" t="s">
        <v>13</v>
      </c>
      <c r="C239" s="12" t="s">
        <v>9</v>
      </c>
      <c r="D239" s="12">
        <v>16</v>
      </c>
      <c r="E239" s="13">
        <v>152.6</v>
      </c>
      <c r="F239" s="13">
        <v>117.37</v>
      </c>
      <c r="G239" s="13">
        <f t="shared" si="6"/>
        <v>2441.6</v>
      </c>
      <c r="H239" s="14">
        <f t="shared" si="7"/>
        <v>563.67999999999984</v>
      </c>
    </row>
    <row r="240" spans="1:8" x14ac:dyDescent="0.35">
      <c r="A240" s="7">
        <v>45716</v>
      </c>
      <c r="B240" s="8" t="s">
        <v>10</v>
      </c>
      <c r="C240" s="8" t="s">
        <v>14</v>
      </c>
      <c r="D240" s="8">
        <v>40</v>
      </c>
      <c r="E240" s="9">
        <v>454.21</v>
      </c>
      <c r="F240" s="9">
        <v>353.98</v>
      </c>
      <c r="G240" s="9">
        <f t="shared" si="6"/>
        <v>18168.399999999998</v>
      </c>
      <c r="H240" s="10">
        <f t="shared" si="7"/>
        <v>4009.1999999999971</v>
      </c>
    </row>
    <row r="241" spans="1:8" x14ac:dyDescent="0.35">
      <c r="A241" s="11">
        <v>45717</v>
      </c>
      <c r="B241" s="12" t="s">
        <v>16</v>
      </c>
      <c r="C241" s="12" t="s">
        <v>15</v>
      </c>
      <c r="D241" s="12">
        <v>13</v>
      </c>
      <c r="E241" s="13">
        <v>429.06</v>
      </c>
      <c r="F241" s="13">
        <v>289.58999999999997</v>
      </c>
      <c r="G241" s="13">
        <f t="shared" si="6"/>
        <v>5577.78</v>
      </c>
      <c r="H241" s="14">
        <f t="shared" si="7"/>
        <v>1813.1100000000001</v>
      </c>
    </row>
    <row r="242" spans="1:8" x14ac:dyDescent="0.35">
      <c r="A242" s="7">
        <v>45718</v>
      </c>
      <c r="B242" s="8" t="s">
        <v>13</v>
      </c>
      <c r="C242" s="8" t="s">
        <v>9</v>
      </c>
      <c r="D242" s="8">
        <v>33</v>
      </c>
      <c r="E242" s="9">
        <v>268.22000000000003</v>
      </c>
      <c r="F242" s="9">
        <v>148.88999999999999</v>
      </c>
      <c r="G242" s="9">
        <f t="shared" si="6"/>
        <v>8851.26</v>
      </c>
      <c r="H242" s="10">
        <f t="shared" si="7"/>
        <v>3937.8900000000003</v>
      </c>
    </row>
    <row r="243" spans="1:8" x14ac:dyDescent="0.35">
      <c r="A243" s="11">
        <v>45719</v>
      </c>
      <c r="B243" s="12" t="s">
        <v>10</v>
      </c>
      <c r="C243" s="12" t="s">
        <v>18</v>
      </c>
      <c r="D243" s="12">
        <v>35</v>
      </c>
      <c r="E243" s="13">
        <v>34.89</v>
      </c>
      <c r="F243" s="13">
        <v>26.01</v>
      </c>
      <c r="G243" s="13">
        <f t="shared" si="6"/>
        <v>1221.1500000000001</v>
      </c>
      <c r="H243" s="14">
        <f t="shared" si="7"/>
        <v>310.80000000000007</v>
      </c>
    </row>
    <row r="244" spans="1:8" x14ac:dyDescent="0.35">
      <c r="A244" s="7">
        <v>45720</v>
      </c>
      <c r="B244" s="8" t="s">
        <v>13</v>
      </c>
      <c r="C244" s="8" t="s">
        <v>12</v>
      </c>
      <c r="D244" s="8">
        <v>29</v>
      </c>
      <c r="E244" s="9">
        <v>165.05</v>
      </c>
      <c r="F244" s="9">
        <v>131.84</v>
      </c>
      <c r="G244" s="9">
        <f t="shared" si="6"/>
        <v>4786.4500000000007</v>
      </c>
      <c r="H244" s="10">
        <f t="shared" si="7"/>
        <v>963.0900000000006</v>
      </c>
    </row>
    <row r="245" spans="1:8" x14ac:dyDescent="0.35">
      <c r="A245" s="11">
        <v>45721</v>
      </c>
      <c r="B245" s="12" t="s">
        <v>8</v>
      </c>
      <c r="C245" s="12" t="s">
        <v>19</v>
      </c>
      <c r="D245" s="12">
        <v>3</v>
      </c>
      <c r="E245" s="13">
        <v>124.92</v>
      </c>
      <c r="F245" s="13">
        <v>95.18</v>
      </c>
      <c r="G245" s="13">
        <f t="shared" si="6"/>
        <v>374.76</v>
      </c>
      <c r="H245" s="14">
        <f t="shared" si="7"/>
        <v>89.21999999999997</v>
      </c>
    </row>
    <row r="246" spans="1:8" x14ac:dyDescent="0.35">
      <c r="A246" s="7">
        <v>45722</v>
      </c>
      <c r="B246" s="8" t="s">
        <v>8</v>
      </c>
      <c r="C246" s="8" t="s">
        <v>14</v>
      </c>
      <c r="D246" s="8">
        <v>18</v>
      </c>
      <c r="E246" s="9">
        <v>519.62</v>
      </c>
      <c r="F246" s="9">
        <v>357.36</v>
      </c>
      <c r="G246" s="9">
        <f t="shared" si="6"/>
        <v>9353.16</v>
      </c>
      <c r="H246" s="10">
        <f t="shared" si="7"/>
        <v>2920.6799999999994</v>
      </c>
    </row>
    <row r="247" spans="1:8" x14ac:dyDescent="0.35">
      <c r="A247" s="11">
        <v>45723</v>
      </c>
      <c r="B247" s="12" t="s">
        <v>8</v>
      </c>
      <c r="C247" s="12" t="s">
        <v>17</v>
      </c>
      <c r="D247" s="12">
        <v>14</v>
      </c>
      <c r="E247" s="13">
        <v>95.77</v>
      </c>
      <c r="F247" s="13">
        <v>60.11</v>
      </c>
      <c r="G247" s="13">
        <f t="shared" si="6"/>
        <v>1340.78</v>
      </c>
      <c r="H247" s="14">
        <f t="shared" si="7"/>
        <v>499.24</v>
      </c>
    </row>
    <row r="248" spans="1:8" x14ac:dyDescent="0.35">
      <c r="A248" s="7">
        <v>45724</v>
      </c>
      <c r="B248" s="8" t="s">
        <v>16</v>
      </c>
      <c r="C248" s="8" t="s">
        <v>17</v>
      </c>
      <c r="D248" s="8">
        <v>16</v>
      </c>
      <c r="E248" s="9">
        <v>678.13</v>
      </c>
      <c r="F248" s="9">
        <v>353.29</v>
      </c>
      <c r="G248" s="9">
        <f t="shared" si="6"/>
        <v>10850.08</v>
      </c>
      <c r="H248" s="10">
        <f t="shared" si="7"/>
        <v>5197.4399999999996</v>
      </c>
    </row>
    <row r="249" spans="1:8" x14ac:dyDescent="0.35">
      <c r="A249" s="11">
        <v>45725</v>
      </c>
      <c r="B249" s="12" t="s">
        <v>16</v>
      </c>
      <c r="C249" s="12" t="s">
        <v>11</v>
      </c>
      <c r="D249" s="12">
        <v>13</v>
      </c>
      <c r="E249" s="13">
        <v>707.73</v>
      </c>
      <c r="F249" s="13">
        <v>399.86</v>
      </c>
      <c r="G249" s="13">
        <f t="shared" si="6"/>
        <v>9200.49</v>
      </c>
      <c r="H249" s="14">
        <f t="shared" si="7"/>
        <v>4002.3099999999995</v>
      </c>
    </row>
    <row r="250" spans="1:8" x14ac:dyDescent="0.35">
      <c r="A250" s="7">
        <v>45726</v>
      </c>
      <c r="B250" s="8" t="s">
        <v>16</v>
      </c>
      <c r="C250" s="8" t="s">
        <v>15</v>
      </c>
      <c r="D250" s="8">
        <v>35</v>
      </c>
      <c r="E250" s="9">
        <v>391.51</v>
      </c>
      <c r="F250" s="9">
        <v>291.24</v>
      </c>
      <c r="G250" s="9">
        <f t="shared" si="6"/>
        <v>13702.85</v>
      </c>
      <c r="H250" s="10">
        <f t="shared" si="7"/>
        <v>3509.4500000000007</v>
      </c>
    </row>
    <row r="251" spans="1:8" x14ac:dyDescent="0.35">
      <c r="A251" s="11">
        <v>45727</v>
      </c>
      <c r="B251" s="12" t="s">
        <v>10</v>
      </c>
      <c r="C251" s="12" t="s">
        <v>14</v>
      </c>
      <c r="D251" s="12">
        <v>28</v>
      </c>
      <c r="E251" s="13">
        <v>765.89</v>
      </c>
      <c r="F251" s="13">
        <v>407.33</v>
      </c>
      <c r="G251" s="13">
        <f t="shared" si="6"/>
        <v>21444.92</v>
      </c>
      <c r="H251" s="14">
        <f t="shared" si="7"/>
        <v>10039.679999999998</v>
      </c>
    </row>
    <row r="252" spans="1:8" x14ac:dyDescent="0.35">
      <c r="A252" s="7">
        <v>45728</v>
      </c>
      <c r="B252" s="8" t="s">
        <v>8</v>
      </c>
      <c r="C252" s="8" t="s">
        <v>19</v>
      </c>
      <c r="D252" s="8">
        <v>26</v>
      </c>
      <c r="E252" s="9">
        <v>509.42</v>
      </c>
      <c r="F252" s="9">
        <v>243.11</v>
      </c>
      <c r="G252" s="9">
        <f t="shared" si="6"/>
        <v>13244.92</v>
      </c>
      <c r="H252" s="10">
        <f t="shared" si="7"/>
        <v>6924.0599999999995</v>
      </c>
    </row>
    <row r="253" spans="1:8" x14ac:dyDescent="0.35">
      <c r="A253" s="11">
        <v>45729</v>
      </c>
      <c r="B253" s="12" t="s">
        <v>16</v>
      </c>
      <c r="C253" s="12" t="s">
        <v>9</v>
      </c>
      <c r="D253" s="12">
        <v>3</v>
      </c>
      <c r="E253" s="13">
        <v>50.71</v>
      </c>
      <c r="F253" s="13">
        <v>24.71</v>
      </c>
      <c r="G253" s="13">
        <f t="shared" si="6"/>
        <v>152.13</v>
      </c>
      <c r="H253" s="14">
        <f t="shared" si="7"/>
        <v>78</v>
      </c>
    </row>
    <row r="254" spans="1:8" x14ac:dyDescent="0.35">
      <c r="A254" s="7">
        <v>45730</v>
      </c>
      <c r="B254" s="8" t="s">
        <v>16</v>
      </c>
      <c r="C254" s="8" t="s">
        <v>11</v>
      </c>
      <c r="D254" s="8">
        <v>10</v>
      </c>
      <c r="E254" s="9">
        <v>569.57000000000005</v>
      </c>
      <c r="F254" s="9">
        <v>262.45999999999998</v>
      </c>
      <c r="G254" s="9">
        <f t="shared" si="6"/>
        <v>5695.7000000000007</v>
      </c>
      <c r="H254" s="10">
        <f t="shared" si="7"/>
        <v>3071.1000000000008</v>
      </c>
    </row>
    <row r="255" spans="1:8" x14ac:dyDescent="0.35">
      <c r="A255" s="11">
        <v>45731</v>
      </c>
      <c r="B255" s="12" t="s">
        <v>16</v>
      </c>
      <c r="C255" s="12" t="s">
        <v>14</v>
      </c>
      <c r="D255" s="12">
        <v>5</v>
      </c>
      <c r="E255" s="13">
        <v>597.32000000000005</v>
      </c>
      <c r="F255" s="13">
        <v>282.54000000000002</v>
      </c>
      <c r="G255" s="13">
        <f t="shared" si="6"/>
        <v>2986.6000000000004</v>
      </c>
      <c r="H255" s="14">
        <f t="shared" si="7"/>
        <v>1573.9000000000003</v>
      </c>
    </row>
    <row r="256" spans="1:8" x14ac:dyDescent="0.35">
      <c r="A256" s="7">
        <v>45732</v>
      </c>
      <c r="B256" s="8" t="s">
        <v>8</v>
      </c>
      <c r="C256" s="8" t="s">
        <v>19</v>
      </c>
      <c r="D256" s="8">
        <v>35</v>
      </c>
      <c r="E256" s="9">
        <v>716.29</v>
      </c>
      <c r="F256" s="9">
        <v>338.86</v>
      </c>
      <c r="G256" s="9">
        <f t="shared" si="6"/>
        <v>25070.149999999998</v>
      </c>
      <c r="H256" s="10">
        <f t="shared" si="7"/>
        <v>13210.049999999997</v>
      </c>
    </row>
    <row r="257" spans="1:8" x14ac:dyDescent="0.35">
      <c r="A257" s="11">
        <v>45733</v>
      </c>
      <c r="B257" s="12" t="s">
        <v>13</v>
      </c>
      <c r="C257" s="12" t="s">
        <v>12</v>
      </c>
      <c r="D257" s="12">
        <v>16</v>
      </c>
      <c r="E257" s="13">
        <v>188.41</v>
      </c>
      <c r="F257" s="13">
        <v>92.17</v>
      </c>
      <c r="G257" s="13">
        <f t="shared" si="6"/>
        <v>3014.56</v>
      </c>
      <c r="H257" s="14">
        <f t="shared" si="7"/>
        <v>1539.84</v>
      </c>
    </row>
    <row r="258" spans="1:8" x14ac:dyDescent="0.35">
      <c r="A258" s="7">
        <v>45734</v>
      </c>
      <c r="B258" s="8" t="s">
        <v>10</v>
      </c>
      <c r="C258" s="8" t="s">
        <v>12</v>
      </c>
      <c r="D258" s="8">
        <v>19</v>
      </c>
      <c r="E258" s="9">
        <v>397.38</v>
      </c>
      <c r="F258" s="9">
        <v>197.27</v>
      </c>
      <c r="G258" s="9">
        <f t="shared" ref="G258:G301" si="8">D258*E258</f>
        <v>7550.22</v>
      </c>
      <c r="H258" s="10">
        <f t="shared" ref="H258:H321" si="9">G258-D258*F258</f>
        <v>3802.09</v>
      </c>
    </row>
    <row r="259" spans="1:8" x14ac:dyDescent="0.35">
      <c r="A259" s="11">
        <v>45735</v>
      </c>
      <c r="B259" s="12" t="s">
        <v>16</v>
      </c>
      <c r="C259" s="12" t="s">
        <v>17</v>
      </c>
      <c r="D259" s="12">
        <v>21</v>
      </c>
      <c r="E259" s="13">
        <v>289.12</v>
      </c>
      <c r="F259" s="13">
        <v>156.53</v>
      </c>
      <c r="G259" s="13">
        <f t="shared" si="8"/>
        <v>6071.52</v>
      </c>
      <c r="H259" s="14">
        <f t="shared" si="9"/>
        <v>2784.3900000000003</v>
      </c>
    </row>
    <row r="260" spans="1:8" x14ac:dyDescent="0.35">
      <c r="A260" s="7">
        <v>45736</v>
      </c>
      <c r="B260" s="8" t="s">
        <v>8</v>
      </c>
      <c r="C260" s="8" t="s">
        <v>17</v>
      </c>
      <c r="D260" s="8">
        <v>19</v>
      </c>
      <c r="E260" s="9">
        <v>67.27</v>
      </c>
      <c r="F260" s="9">
        <v>48.16</v>
      </c>
      <c r="G260" s="9">
        <f t="shared" si="8"/>
        <v>1278.1299999999999</v>
      </c>
      <c r="H260" s="10">
        <f t="shared" si="9"/>
        <v>363.08999999999992</v>
      </c>
    </row>
    <row r="261" spans="1:8" x14ac:dyDescent="0.35">
      <c r="A261" s="11">
        <v>45737</v>
      </c>
      <c r="B261" s="12" t="s">
        <v>8</v>
      </c>
      <c r="C261" s="12" t="s">
        <v>18</v>
      </c>
      <c r="D261" s="12">
        <v>19</v>
      </c>
      <c r="E261" s="13">
        <v>506.07</v>
      </c>
      <c r="F261" s="13">
        <v>233.22</v>
      </c>
      <c r="G261" s="13">
        <f t="shared" si="8"/>
        <v>9615.33</v>
      </c>
      <c r="H261" s="14">
        <f t="shared" si="9"/>
        <v>5184.1499999999996</v>
      </c>
    </row>
    <row r="262" spans="1:8" x14ac:dyDescent="0.35">
      <c r="A262" s="7">
        <v>45738</v>
      </c>
      <c r="B262" s="8" t="s">
        <v>13</v>
      </c>
      <c r="C262" s="8" t="s">
        <v>14</v>
      </c>
      <c r="D262" s="8">
        <v>28</v>
      </c>
      <c r="E262" s="9">
        <v>429.34</v>
      </c>
      <c r="F262" s="9">
        <v>207.97</v>
      </c>
      <c r="G262" s="9">
        <f t="shared" si="8"/>
        <v>12021.519999999999</v>
      </c>
      <c r="H262" s="10">
        <f t="shared" si="9"/>
        <v>6198.3599999999988</v>
      </c>
    </row>
    <row r="263" spans="1:8" x14ac:dyDescent="0.35">
      <c r="A263" s="11">
        <v>45739</v>
      </c>
      <c r="B263" s="12" t="s">
        <v>13</v>
      </c>
      <c r="C263" s="12" t="s">
        <v>14</v>
      </c>
      <c r="D263" s="12">
        <v>35</v>
      </c>
      <c r="E263" s="13">
        <v>465.9</v>
      </c>
      <c r="F263" s="13">
        <v>326.14999999999998</v>
      </c>
      <c r="G263" s="13">
        <f t="shared" si="8"/>
        <v>16306.5</v>
      </c>
      <c r="H263" s="14">
        <f t="shared" si="9"/>
        <v>4891.25</v>
      </c>
    </row>
    <row r="264" spans="1:8" x14ac:dyDescent="0.35">
      <c r="A264" s="7">
        <v>45740</v>
      </c>
      <c r="B264" s="8" t="s">
        <v>10</v>
      </c>
      <c r="C264" s="8" t="s">
        <v>17</v>
      </c>
      <c r="D264" s="8">
        <v>11</v>
      </c>
      <c r="E264" s="9">
        <v>365.76</v>
      </c>
      <c r="F264" s="9">
        <v>231.62</v>
      </c>
      <c r="G264" s="9">
        <f t="shared" si="8"/>
        <v>4023.3599999999997</v>
      </c>
      <c r="H264" s="10">
        <f t="shared" si="9"/>
        <v>1475.5399999999995</v>
      </c>
    </row>
    <row r="265" spans="1:8" x14ac:dyDescent="0.35">
      <c r="A265" s="11">
        <v>45741</v>
      </c>
      <c r="B265" s="12" t="s">
        <v>8</v>
      </c>
      <c r="C265" s="12" t="s">
        <v>14</v>
      </c>
      <c r="D265" s="12">
        <v>1</v>
      </c>
      <c r="E265" s="13">
        <v>297.81</v>
      </c>
      <c r="F265" s="13">
        <v>143.99</v>
      </c>
      <c r="G265" s="13">
        <f t="shared" si="8"/>
        <v>297.81</v>
      </c>
      <c r="H265" s="14">
        <f t="shared" si="9"/>
        <v>153.82</v>
      </c>
    </row>
    <row r="266" spans="1:8" x14ac:dyDescent="0.35">
      <c r="A266" s="7">
        <v>45742</v>
      </c>
      <c r="B266" s="8" t="s">
        <v>16</v>
      </c>
      <c r="C266" s="8" t="s">
        <v>18</v>
      </c>
      <c r="D266" s="8">
        <v>38</v>
      </c>
      <c r="E266" s="9">
        <v>297.33</v>
      </c>
      <c r="F266" s="9">
        <v>220.36</v>
      </c>
      <c r="G266" s="9">
        <f t="shared" si="8"/>
        <v>11298.539999999999</v>
      </c>
      <c r="H266" s="10">
        <f t="shared" si="9"/>
        <v>2924.8599999999988</v>
      </c>
    </row>
    <row r="267" spans="1:8" x14ac:dyDescent="0.35">
      <c r="A267" s="11">
        <v>45743</v>
      </c>
      <c r="B267" s="12" t="s">
        <v>8</v>
      </c>
      <c r="C267" s="12" t="s">
        <v>9</v>
      </c>
      <c r="D267" s="12">
        <v>19</v>
      </c>
      <c r="E267" s="13">
        <v>657.74</v>
      </c>
      <c r="F267" s="13">
        <v>511.99</v>
      </c>
      <c r="G267" s="13">
        <f t="shared" si="8"/>
        <v>12497.06</v>
      </c>
      <c r="H267" s="14">
        <f t="shared" si="9"/>
        <v>2769.25</v>
      </c>
    </row>
    <row r="268" spans="1:8" x14ac:dyDescent="0.35">
      <c r="A268" s="7">
        <v>45744</v>
      </c>
      <c r="B268" s="8" t="s">
        <v>16</v>
      </c>
      <c r="C268" s="8" t="s">
        <v>18</v>
      </c>
      <c r="D268" s="8">
        <v>11</v>
      </c>
      <c r="E268" s="9">
        <v>114.64</v>
      </c>
      <c r="F268" s="9">
        <v>77.13</v>
      </c>
      <c r="G268" s="9">
        <f t="shared" si="8"/>
        <v>1261.04</v>
      </c>
      <c r="H268" s="10">
        <f t="shared" si="9"/>
        <v>412.61</v>
      </c>
    </row>
    <row r="269" spans="1:8" x14ac:dyDescent="0.35">
      <c r="A269" s="11">
        <v>45745</v>
      </c>
      <c r="B269" s="12" t="s">
        <v>10</v>
      </c>
      <c r="C269" s="12" t="s">
        <v>18</v>
      </c>
      <c r="D269" s="12">
        <v>36</v>
      </c>
      <c r="E269" s="13">
        <v>635.94000000000005</v>
      </c>
      <c r="F269" s="13">
        <v>425.94</v>
      </c>
      <c r="G269" s="13">
        <f t="shared" si="8"/>
        <v>22893.840000000004</v>
      </c>
      <c r="H269" s="14">
        <f t="shared" si="9"/>
        <v>7560.0000000000036</v>
      </c>
    </row>
    <row r="270" spans="1:8" x14ac:dyDescent="0.35">
      <c r="A270" s="7">
        <v>45746</v>
      </c>
      <c r="B270" s="8" t="s">
        <v>8</v>
      </c>
      <c r="C270" s="8" t="s">
        <v>12</v>
      </c>
      <c r="D270" s="8">
        <v>26</v>
      </c>
      <c r="E270" s="9">
        <v>744.95</v>
      </c>
      <c r="F270" s="9">
        <v>567.76</v>
      </c>
      <c r="G270" s="9">
        <f t="shared" si="8"/>
        <v>19368.7</v>
      </c>
      <c r="H270" s="10">
        <f t="shared" si="9"/>
        <v>4606.9400000000005</v>
      </c>
    </row>
    <row r="271" spans="1:8" x14ac:dyDescent="0.35">
      <c r="A271" s="11">
        <v>45747</v>
      </c>
      <c r="B271" s="12" t="s">
        <v>10</v>
      </c>
      <c r="C271" s="12" t="s">
        <v>15</v>
      </c>
      <c r="D271" s="12">
        <v>2</v>
      </c>
      <c r="E271" s="13">
        <v>316.39999999999998</v>
      </c>
      <c r="F271" s="13">
        <v>175.95</v>
      </c>
      <c r="G271" s="13">
        <f t="shared" si="8"/>
        <v>632.79999999999995</v>
      </c>
      <c r="H271" s="14">
        <f t="shared" si="9"/>
        <v>280.89999999999998</v>
      </c>
    </row>
    <row r="272" spans="1:8" x14ac:dyDescent="0.35">
      <c r="A272" s="7">
        <v>45658</v>
      </c>
      <c r="B272" s="8" t="s">
        <v>13</v>
      </c>
      <c r="C272" s="8" t="s">
        <v>9</v>
      </c>
      <c r="D272" s="8">
        <v>25</v>
      </c>
      <c r="E272" s="9">
        <v>786.46</v>
      </c>
      <c r="F272" s="9">
        <v>527.53</v>
      </c>
      <c r="G272" s="9">
        <f t="shared" si="8"/>
        <v>19661.5</v>
      </c>
      <c r="H272" s="10">
        <f t="shared" si="9"/>
        <v>6473.25</v>
      </c>
    </row>
    <row r="273" spans="1:8" x14ac:dyDescent="0.35">
      <c r="A273" s="11">
        <v>45659</v>
      </c>
      <c r="B273" s="12" t="s">
        <v>13</v>
      </c>
      <c r="C273" s="12" t="s">
        <v>9</v>
      </c>
      <c r="D273" s="12">
        <v>35</v>
      </c>
      <c r="E273" s="13">
        <v>487.45</v>
      </c>
      <c r="F273" s="13">
        <v>336.94</v>
      </c>
      <c r="G273" s="13">
        <f t="shared" si="8"/>
        <v>17060.75</v>
      </c>
      <c r="H273" s="14">
        <f t="shared" si="9"/>
        <v>5267.85</v>
      </c>
    </row>
    <row r="274" spans="1:8" x14ac:dyDescent="0.35">
      <c r="A274" s="7">
        <v>45660</v>
      </c>
      <c r="B274" s="8" t="s">
        <v>10</v>
      </c>
      <c r="C274" s="8" t="s">
        <v>11</v>
      </c>
      <c r="D274" s="8">
        <v>38</v>
      </c>
      <c r="E274" s="9">
        <v>281.52999999999997</v>
      </c>
      <c r="F274" s="9">
        <v>141.99</v>
      </c>
      <c r="G274" s="9">
        <f t="shared" si="8"/>
        <v>10698.14</v>
      </c>
      <c r="H274" s="10">
        <f t="shared" si="9"/>
        <v>5302.5199999999986</v>
      </c>
    </row>
    <row r="275" spans="1:8" x14ac:dyDescent="0.35">
      <c r="A275" s="11">
        <v>45661</v>
      </c>
      <c r="B275" s="12" t="s">
        <v>13</v>
      </c>
      <c r="C275" s="12" t="s">
        <v>11</v>
      </c>
      <c r="D275" s="12">
        <v>11</v>
      </c>
      <c r="E275" s="13">
        <v>386.63</v>
      </c>
      <c r="F275" s="13">
        <v>267.23</v>
      </c>
      <c r="G275" s="13">
        <f t="shared" si="8"/>
        <v>4252.93</v>
      </c>
      <c r="H275" s="14">
        <f t="shared" si="9"/>
        <v>1313.4</v>
      </c>
    </row>
    <row r="276" spans="1:8" x14ac:dyDescent="0.35">
      <c r="A276" s="7">
        <v>45662</v>
      </c>
      <c r="B276" s="8" t="s">
        <v>8</v>
      </c>
      <c r="C276" s="8" t="s">
        <v>19</v>
      </c>
      <c r="D276" s="8">
        <v>9</v>
      </c>
      <c r="E276" s="9">
        <v>287.22000000000003</v>
      </c>
      <c r="F276" s="9">
        <v>193.86</v>
      </c>
      <c r="G276" s="9">
        <f t="shared" si="8"/>
        <v>2584.9800000000005</v>
      </c>
      <c r="H276" s="10">
        <f t="shared" si="9"/>
        <v>840.24000000000024</v>
      </c>
    </row>
    <row r="277" spans="1:8" x14ac:dyDescent="0.35">
      <c r="A277" s="11">
        <v>45663</v>
      </c>
      <c r="B277" s="12" t="s">
        <v>16</v>
      </c>
      <c r="C277" s="12" t="s">
        <v>19</v>
      </c>
      <c r="D277" s="12">
        <v>18</v>
      </c>
      <c r="E277" s="13">
        <v>262.16000000000003</v>
      </c>
      <c r="F277" s="13">
        <v>182.49</v>
      </c>
      <c r="G277" s="13">
        <f t="shared" si="8"/>
        <v>4718.88</v>
      </c>
      <c r="H277" s="14">
        <f t="shared" si="9"/>
        <v>1434.06</v>
      </c>
    </row>
    <row r="278" spans="1:8" x14ac:dyDescent="0.35">
      <c r="A278" s="7">
        <v>45664</v>
      </c>
      <c r="B278" s="8" t="s">
        <v>16</v>
      </c>
      <c r="C278" s="8" t="s">
        <v>9</v>
      </c>
      <c r="D278" s="8">
        <v>16</v>
      </c>
      <c r="E278" s="9">
        <v>586.83000000000004</v>
      </c>
      <c r="F278" s="9">
        <v>387.9</v>
      </c>
      <c r="G278" s="9">
        <f t="shared" si="8"/>
        <v>9389.2800000000007</v>
      </c>
      <c r="H278" s="10">
        <f t="shared" si="9"/>
        <v>3182.880000000001</v>
      </c>
    </row>
    <row r="279" spans="1:8" x14ac:dyDescent="0.35">
      <c r="A279" s="11">
        <v>45665</v>
      </c>
      <c r="B279" s="12" t="s">
        <v>8</v>
      </c>
      <c r="C279" s="12" t="s">
        <v>9</v>
      </c>
      <c r="D279" s="12">
        <v>16</v>
      </c>
      <c r="E279" s="13">
        <v>282.62</v>
      </c>
      <c r="F279" s="13">
        <v>145.9</v>
      </c>
      <c r="G279" s="13">
        <f t="shared" si="8"/>
        <v>4521.92</v>
      </c>
      <c r="H279" s="14">
        <f t="shared" si="9"/>
        <v>2187.52</v>
      </c>
    </row>
    <row r="280" spans="1:8" x14ac:dyDescent="0.35">
      <c r="A280" s="7">
        <v>45666</v>
      </c>
      <c r="B280" s="8" t="s">
        <v>10</v>
      </c>
      <c r="C280" s="8" t="s">
        <v>9</v>
      </c>
      <c r="D280" s="8">
        <v>7</v>
      </c>
      <c r="E280" s="9">
        <v>180.48</v>
      </c>
      <c r="F280" s="9">
        <v>90.75</v>
      </c>
      <c r="G280" s="9">
        <f t="shared" si="8"/>
        <v>1263.3599999999999</v>
      </c>
      <c r="H280" s="10">
        <f t="shared" si="9"/>
        <v>628.1099999999999</v>
      </c>
    </row>
    <row r="281" spans="1:8" x14ac:dyDescent="0.35">
      <c r="A281" s="11">
        <v>45667</v>
      </c>
      <c r="B281" s="12" t="s">
        <v>16</v>
      </c>
      <c r="C281" s="12" t="s">
        <v>17</v>
      </c>
      <c r="D281" s="12">
        <v>20</v>
      </c>
      <c r="E281" s="13">
        <v>364.89</v>
      </c>
      <c r="F281" s="13">
        <v>189.26</v>
      </c>
      <c r="G281" s="13">
        <f t="shared" si="8"/>
        <v>7297.7999999999993</v>
      </c>
      <c r="H281" s="14">
        <f t="shared" si="9"/>
        <v>3512.5999999999995</v>
      </c>
    </row>
    <row r="282" spans="1:8" x14ac:dyDescent="0.35">
      <c r="A282" s="7">
        <v>45668</v>
      </c>
      <c r="B282" s="8" t="s">
        <v>10</v>
      </c>
      <c r="C282" s="8" t="s">
        <v>17</v>
      </c>
      <c r="D282" s="8">
        <v>14</v>
      </c>
      <c r="E282" s="9">
        <v>711.64</v>
      </c>
      <c r="F282" s="9">
        <v>435.79</v>
      </c>
      <c r="G282" s="9">
        <f t="shared" si="8"/>
        <v>9962.9599999999991</v>
      </c>
      <c r="H282" s="10">
        <f t="shared" si="9"/>
        <v>3861.8999999999987</v>
      </c>
    </row>
    <row r="283" spans="1:8" x14ac:dyDescent="0.35">
      <c r="A283" s="11">
        <v>45669</v>
      </c>
      <c r="B283" s="12" t="s">
        <v>10</v>
      </c>
      <c r="C283" s="12" t="s">
        <v>15</v>
      </c>
      <c r="D283" s="12">
        <v>28</v>
      </c>
      <c r="E283" s="13">
        <v>563.95000000000005</v>
      </c>
      <c r="F283" s="13">
        <v>352.56</v>
      </c>
      <c r="G283" s="13">
        <f t="shared" si="8"/>
        <v>15790.600000000002</v>
      </c>
      <c r="H283" s="14">
        <f t="shared" si="9"/>
        <v>5918.9200000000019</v>
      </c>
    </row>
    <row r="284" spans="1:8" x14ac:dyDescent="0.35">
      <c r="A284" s="7">
        <v>45670</v>
      </c>
      <c r="B284" s="8" t="s">
        <v>8</v>
      </c>
      <c r="C284" s="8" t="s">
        <v>18</v>
      </c>
      <c r="D284" s="8">
        <v>2</v>
      </c>
      <c r="E284" s="9">
        <v>139.19999999999999</v>
      </c>
      <c r="F284" s="9">
        <v>92.05</v>
      </c>
      <c r="G284" s="9">
        <f t="shared" si="8"/>
        <v>278.39999999999998</v>
      </c>
      <c r="H284" s="10">
        <f t="shared" si="9"/>
        <v>94.299999999999983</v>
      </c>
    </row>
    <row r="285" spans="1:8" x14ac:dyDescent="0.35">
      <c r="A285" s="11">
        <v>45671</v>
      </c>
      <c r="B285" s="12" t="s">
        <v>13</v>
      </c>
      <c r="C285" s="12" t="s">
        <v>14</v>
      </c>
      <c r="D285" s="12">
        <v>16</v>
      </c>
      <c r="E285" s="13">
        <v>729.16</v>
      </c>
      <c r="F285" s="13">
        <v>437.87</v>
      </c>
      <c r="G285" s="13">
        <f t="shared" si="8"/>
        <v>11666.56</v>
      </c>
      <c r="H285" s="14">
        <f t="shared" si="9"/>
        <v>4660.6399999999994</v>
      </c>
    </row>
    <row r="286" spans="1:8" x14ac:dyDescent="0.35">
      <c r="A286" s="7">
        <v>45672</v>
      </c>
      <c r="B286" s="8" t="s">
        <v>13</v>
      </c>
      <c r="C286" s="8" t="s">
        <v>19</v>
      </c>
      <c r="D286" s="8">
        <v>38</v>
      </c>
      <c r="E286" s="9">
        <v>686.38</v>
      </c>
      <c r="F286" s="9">
        <v>472.13</v>
      </c>
      <c r="G286" s="9">
        <f t="shared" si="8"/>
        <v>26082.44</v>
      </c>
      <c r="H286" s="10">
        <f t="shared" si="9"/>
        <v>8141.5</v>
      </c>
    </row>
    <row r="287" spans="1:8" x14ac:dyDescent="0.35">
      <c r="A287" s="11">
        <v>45673</v>
      </c>
      <c r="B287" s="12" t="s">
        <v>10</v>
      </c>
      <c r="C287" s="12" t="s">
        <v>18</v>
      </c>
      <c r="D287" s="12">
        <v>28</v>
      </c>
      <c r="E287" s="13">
        <v>271.02</v>
      </c>
      <c r="F287" s="13">
        <v>181.56</v>
      </c>
      <c r="G287" s="13">
        <f t="shared" si="8"/>
        <v>7588.5599999999995</v>
      </c>
      <c r="H287" s="14">
        <f t="shared" si="9"/>
        <v>2504.8799999999992</v>
      </c>
    </row>
    <row r="288" spans="1:8" x14ac:dyDescent="0.35">
      <c r="A288" s="7">
        <v>45674</v>
      </c>
      <c r="B288" s="8" t="s">
        <v>10</v>
      </c>
      <c r="C288" s="8" t="s">
        <v>15</v>
      </c>
      <c r="D288" s="8">
        <v>16</v>
      </c>
      <c r="E288" s="9">
        <v>632.42999999999995</v>
      </c>
      <c r="F288" s="9">
        <v>442.45</v>
      </c>
      <c r="G288" s="9">
        <f t="shared" si="8"/>
        <v>10118.879999999999</v>
      </c>
      <c r="H288" s="10">
        <f t="shared" si="9"/>
        <v>3039.6799999999994</v>
      </c>
    </row>
    <row r="289" spans="1:8" x14ac:dyDescent="0.35">
      <c r="A289" s="11">
        <v>45675</v>
      </c>
      <c r="B289" s="12" t="s">
        <v>16</v>
      </c>
      <c r="C289" s="12" t="s">
        <v>17</v>
      </c>
      <c r="D289" s="12">
        <v>28</v>
      </c>
      <c r="E289" s="13">
        <v>401.71</v>
      </c>
      <c r="F289" s="13">
        <v>183.53</v>
      </c>
      <c r="G289" s="13">
        <f t="shared" si="8"/>
        <v>11247.88</v>
      </c>
      <c r="H289" s="14">
        <f t="shared" si="9"/>
        <v>6109.0399999999991</v>
      </c>
    </row>
    <row r="290" spans="1:8" x14ac:dyDescent="0.35">
      <c r="A290" s="7">
        <v>45676</v>
      </c>
      <c r="B290" s="8" t="s">
        <v>13</v>
      </c>
      <c r="C290" s="8" t="s">
        <v>9</v>
      </c>
      <c r="D290" s="8">
        <v>21</v>
      </c>
      <c r="E290" s="9">
        <v>629.20000000000005</v>
      </c>
      <c r="F290" s="9">
        <v>368.74</v>
      </c>
      <c r="G290" s="9">
        <f t="shared" si="8"/>
        <v>13213.2</v>
      </c>
      <c r="H290" s="10">
        <f t="shared" si="9"/>
        <v>5469.6600000000008</v>
      </c>
    </row>
    <row r="291" spans="1:8" x14ac:dyDescent="0.35">
      <c r="A291" s="11">
        <v>45677</v>
      </c>
      <c r="B291" s="12" t="s">
        <v>13</v>
      </c>
      <c r="C291" s="12" t="s">
        <v>12</v>
      </c>
      <c r="D291" s="12">
        <v>3</v>
      </c>
      <c r="E291" s="13">
        <v>223.44</v>
      </c>
      <c r="F291" s="13">
        <v>117.59</v>
      </c>
      <c r="G291" s="13">
        <f t="shared" si="8"/>
        <v>670.31999999999994</v>
      </c>
      <c r="H291" s="14">
        <f t="shared" si="9"/>
        <v>317.54999999999995</v>
      </c>
    </row>
    <row r="292" spans="1:8" x14ac:dyDescent="0.35">
      <c r="A292" s="7">
        <v>45678</v>
      </c>
      <c r="B292" s="8" t="s">
        <v>16</v>
      </c>
      <c r="C292" s="8" t="s">
        <v>11</v>
      </c>
      <c r="D292" s="8">
        <v>7</v>
      </c>
      <c r="E292" s="9">
        <v>682.31</v>
      </c>
      <c r="F292" s="9">
        <v>416.12</v>
      </c>
      <c r="G292" s="9">
        <f t="shared" si="8"/>
        <v>4776.17</v>
      </c>
      <c r="H292" s="10">
        <f t="shared" si="9"/>
        <v>1863.33</v>
      </c>
    </row>
    <row r="293" spans="1:8" x14ac:dyDescent="0.35">
      <c r="A293" s="11">
        <v>45679</v>
      </c>
      <c r="B293" s="12" t="s">
        <v>16</v>
      </c>
      <c r="C293" s="12" t="s">
        <v>18</v>
      </c>
      <c r="D293" s="12">
        <v>33</v>
      </c>
      <c r="E293" s="13">
        <v>42.4</v>
      </c>
      <c r="F293" s="13">
        <v>30.84</v>
      </c>
      <c r="G293" s="13">
        <f t="shared" si="8"/>
        <v>1399.2</v>
      </c>
      <c r="H293" s="14">
        <f t="shared" si="9"/>
        <v>381.48</v>
      </c>
    </row>
    <row r="294" spans="1:8" x14ac:dyDescent="0.35">
      <c r="A294" s="7">
        <v>45680</v>
      </c>
      <c r="B294" s="8" t="s">
        <v>8</v>
      </c>
      <c r="C294" s="8" t="s">
        <v>11</v>
      </c>
      <c r="D294" s="8">
        <v>27</v>
      </c>
      <c r="E294" s="9">
        <v>601.41999999999996</v>
      </c>
      <c r="F294" s="9">
        <v>366.82</v>
      </c>
      <c r="G294" s="9">
        <f t="shared" si="8"/>
        <v>16238.339999999998</v>
      </c>
      <c r="H294" s="10">
        <f t="shared" si="9"/>
        <v>6334.1999999999989</v>
      </c>
    </row>
    <row r="295" spans="1:8" x14ac:dyDescent="0.35">
      <c r="A295" s="11">
        <v>45681</v>
      </c>
      <c r="B295" s="12" t="s">
        <v>16</v>
      </c>
      <c r="C295" s="12" t="s">
        <v>15</v>
      </c>
      <c r="D295" s="12">
        <v>33</v>
      </c>
      <c r="E295" s="13">
        <v>617.28</v>
      </c>
      <c r="F295" s="13">
        <v>304.22000000000003</v>
      </c>
      <c r="G295" s="13">
        <f t="shared" si="8"/>
        <v>20370.239999999998</v>
      </c>
      <c r="H295" s="14">
        <f t="shared" si="9"/>
        <v>10330.979999999998</v>
      </c>
    </row>
    <row r="296" spans="1:8" x14ac:dyDescent="0.35">
      <c r="A296" s="7">
        <v>45682</v>
      </c>
      <c r="B296" s="8" t="s">
        <v>8</v>
      </c>
      <c r="C296" s="8" t="s">
        <v>14</v>
      </c>
      <c r="D296" s="8">
        <v>17</v>
      </c>
      <c r="E296" s="9">
        <v>241.26</v>
      </c>
      <c r="F296" s="9">
        <v>142.32</v>
      </c>
      <c r="G296" s="9">
        <f t="shared" si="8"/>
        <v>4101.42</v>
      </c>
      <c r="H296" s="10">
        <f t="shared" si="9"/>
        <v>1681.98</v>
      </c>
    </row>
    <row r="297" spans="1:8" x14ac:dyDescent="0.35">
      <c r="A297" s="11">
        <v>45683</v>
      </c>
      <c r="B297" s="12" t="s">
        <v>10</v>
      </c>
      <c r="C297" s="12" t="s">
        <v>12</v>
      </c>
      <c r="D297" s="12">
        <v>27</v>
      </c>
      <c r="E297" s="13">
        <v>734.89</v>
      </c>
      <c r="F297" s="13">
        <v>492.37</v>
      </c>
      <c r="G297" s="13">
        <f t="shared" si="8"/>
        <v>19842.03</v>
      </c>
      <c r="H297" s="14">
        <f t="shared" si="9"/>
        <v>6548.0399999999991</v>
      </c>
    </row>
    <row r="298" spans="1:8" x14ac:dyDescent="0.35">
      <c r="A298" s="7">
        <v>45684</v>
      </c>
      <c r="B298" s="8" t="s">
        <v>8</v>
      </c>
      <c r="C298" s="8" t="s">
        <v>17</v>
      </c>
      <c r="D298" s="8">
        <v>7</v>
      </c>
      <c r="E298" s="9">
        <v>202.81</v>
      </c>
      <c r="F298" s="9">
        <v>143.9</v>
      </c>
      <c r="G298" s="9">
        <f t="shared" si="8"/>
        <v>1419.67</v>
      </c>
      <c r="H298" s="10">
        <f t="shared" si="9"/>
        <v>412.37</v>
      </c>
    </row>
    <row r="299" spans="1:8" x14ac:dyDescent="0.35">
      <c r="A299" s="11">
        <v>45685</v>
      </c>
      <c r="B299" s="12" t="s">
        <v>16</v>
      </c>
      <c r="C299" s="12" t="s">
        <v>15</v>
      </c>
      <c r="D299" s="12">
        <v>30</v>
      </c>
      <c r="E299" s="13">
        <v>193.25</v>
      </c>
      <c r="F299" s="13">
        <v>95.71</v>
      </c>
      <c r="G299" s="13">
        <f t="shared" si="8"/>
        <v>5797.5</v>
      </c>
      <c r="H299" s="14">
        <f t="shared" si="9"/>
        <v>2926.2000000000003</v>
      </c>
    </row>
    <row r="300" spans="1:8" x14ac:dyDescent="0.35">
      <c r="A300" s="7">
        <v>45686</v>
      </c>
      <c r="B300" s="8" t="s">
        <v>10</v>
      </c>
      <c r="C300" s="8" t="s">
        <v>19</v>
      </c>
      <c r="D300" s="8">
        <v>31</v>
      </c>
      <c r="E300" s="9">
        <v>524.49</v>
      </c>
      <c r="F300" s="9">
        <v>368.32</v>
      </c>
      <c r="G300" s="9">
        <f t="shared" si="8"/>
        <v>16259.19</v>
      </c>
      <c r="H300" s="10">
        <f t="shared" si="9"/>
        <v>4841.2700000000004</v>
      </c>
    </row>
    <row r="301" spans="1:8" x14ac:dyDescent="0.35">
      <c r="A301" s="15">
        <v>45687</v>
      </c>
      <c r="B301" s="3" t="s">
        <v>16</v>
      </c>
      <c r="C301" s="3" t="s">
        <v>11</v>
      </c>
      <c r="D301" s="3">
        <v>27</v>
      </c>
      <c r="E301" s="16">
        <v>390.44</v>
      </c>
      <c r="F301" s="16">
        <v>215.92</v>
      </c>
      <c r="G301" s="16">
        <f t="shared" si="8"/>
        <v>10541.88</v>
      </c>
      <c r="H301" s="17">
        <f t="shared" si="9"/>
        <v>4712.04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7265625" defaultRowHeight="14.5" x14ac:dyDescent="0.35"/>
  <cols>
    <col min="1" max="1" width="16" customWidth="1"/>
    <col min="2" max="2" width="14" customWidth="1"/>
  </cols>
  <sheetData>
    <row r="1" spans="1:2" x14ac:dyDescent="0.35">
      <c r="A1" t="s">
        <v>20</v>
      </c>
      <c r="B1" t="s">
        <v>21</v>
      </c>
    </row>
    <row r="2" spans="1:2" x14ac:dyDescent="0.35">
      <c r="A2" t="s">
        <v>22</v>
      </c>
      <c r="B2" s="2">
        <v>0.19</v>
      </c>
    </row>
    <row r="3" spans="1:2" x14ac:dyDescent="0.35">
      <c r="A3" t="s">
        <v>23</v>
      </c>
      <c r="B3" s="2">
        <v>0.05</v>
      </c>
    </row>
    <row r="4" spans="1:2" x14ac:dyDescent="0.35">
      <c r="A4" t="s">
        <v>24</v>
      </c>
      <c r="B4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4" sqref="B4"/>
    </sheetView>
  </sheetViews>
  <sheetFormatPr baseColWidth="10" defaultColWidth="8.7265625" defaultRowHeight="14.5" x14ac:dyDescent="0.35"/>
  <cols>
    <col min="1" max="1" width="40" customWidth="1"/>
    <col min="2" max="2" width="28" customWidth="1"/>
  </cols>
  <sheetData>
    <row r="1" spans="1:2" x14ac:dyDescent="0.35">
      <c r="A1" t="s">
        <v>26</v>
      </c>
    </row>
    <row r="3" spans="1:2" x14ac:dyDescent="0.35">
      <c r="A3" t="s">
        <v>27</v>
      </c>
      <c r="B3" s="1">
        <f>SUM(Feuil1!G2:G301)</f>
        <v>2585500.4900000002</v>
      </c>
    </row>
    <row r="4" spans="1:2" x14ac:dyDescent="0.35">
      <c r="A4" t="s">
        <v>28</v>
      </c>
      <c r="B4" s="1">
        <f>SUM(Feuil1!H2:H301)</f>
        <v>1015709.58</v>
      </c>
    </row>
    <row r="5" spans="1:2" x14ac:dyDescent="0.35">
      <c r="A5" t="s">
        <v>29</v>
      </c>
      <c r="B5">
        <f>B3*(1+Params!$B$2)</f>
        <v>3076745.5830999999</v>
      </c>
    </row>
    <row r="7" spans="1:2" x14ac:dyDescent="0.35">
      <c r="A7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baseColWidth="10" defaultColWidth="8.7265625" defaultRowHeight="14.5" x14ac:dyDescent="0.35"/>
  <cols>
    <col min="1" max="1" width="9" customWidth="1"/>
    <col min="2" max="2" width="2" customWidth="1"/>
    <col min="3" max="3" width="11" customWidth="1"/>
    <col min="4" max="4" width="9" customWidth="1"/>
    <col min="5" max="5" width="8" customWidth="1"/>
  </cols>
  <sheetData>
    <row r="1" spans="1:5" x14ac:dyDescent="0.35">
      <c r="A1" t="s">
        <v>31</v>
      </c>
      <c r="C1" t="s">
        <v>32</v>
      </c>
      <c r="D1" t="s">
        <v>33</v>
      </c>
      <c r="E1" t="s">
        <v>34</v>
      </c>
    </row>
    <row r="2" spans="1:5" x14ac:dyDescent="0.35">
      <c r="A2" t="s">
        <v>32</v>
      </c>
      <c r="C2" t="s">
        <v>35</v>
      </c>
      <c r="D2" t="s">
        <v>36</v>
      </c>
      <c r="E2" t="s">
        <v>37</v>
      </c>
    </row>
    <row r="3" spans="1:5" x14ac:dyDescent="0.35">
      <c r="A3" t="s">
        <v>33</v>
      </c>
      <c r="C3" t="s">
        <v>38</v>
      </c>
      <c r="D3" t="s">
        <v>39</v>
      </c>
      <c r="E3" t="s">
        <v>40</v>
      </c>
    </row>
    <row r="4" spans="1:5" x14ac:dyDescent="0.35">
      <c r="A4" t="s">
        <v>34</v>
      </c>
      <c r="C4" t="s">
        <v>41</v>
      </c>
      <c r="D4" t="s">
        <v>42</v>
      </c>
      <c r="E4" t="s">
        <v>43</v>
      </c>
    </row>
    <row r="5" spans="1:5" x14ac:dyDescent="0.35">
      <c r="C5" t="s">
        <v>44</v>
      </c>
      <c r="D5" t="s">
        <v>45</v>
      </c>
      <c r="E5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7265625" defaultRowHeight="14.5" x14ac:dyDescent="0.35"/>
  <cols>
    <col min="1" max="1" width="24" customWidth="1"/>
    <col min="2" max="2" width="2" customWidth="1"/>
  </cols>
  <sheetData>
    <row r="1" spans="1:1" x14ac:dyDescent="0.35">
      <c r="A1" t="s">
        <v>47</v>
      </c>
    </row>
    <row r="2" spans="1:1" x14ac:dyDescent="0.35">
      <c r="A2" t="s">
        <v>48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Lookups!$A$2:$A$4</xm:f>
          </x14:formula1>
          <xm:sqref>B1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tabSelected="1" workbookViewId="0">
      <selection activeCell="A13" sqref="A13"/>
    </sheetView>
  </sheetViews>
  <sheetFormatPr baseColWidth="10" defaultColWidth="8.7265625" defaultRowHeight="14.5" x14ac:dyDescent="0.35"/>
  <cols>
    <col min="1" max="1" width="68.90625" bestFit="1" customWidth="1"/>
  </cols>
  <sheetData>
    <row r="1" spans="1:1" x14ac:dyDescent="0.35">
      <c r="A1" t="s">
        <v>49</v>
      </c>
    </row>
    <row r="3" spans="1:1" x14ac:dyDescent="0.35">
      <c r="A3" t="s">
        <v>50</v>
      </c>
    </row>
    <row r="4" spans="1:1" x14ac:dyDescent="0.35">
      <c r="A4" t="s">
        <v>51</v>
      </c>
    </row>
    <row r="5" spans="1:1" x14ac:dyDescent="0.35">
      <c r="A5" t="s">
        <v>52</v>
      </c>
    </row>
    <row r="6" spans="1:1" x14ac:dyDescent="0.35">
      <c r="A6" t="s">
        <v>53</v>
      </c>
    </row>
    <row r="7" spans="1:1" x14ac:dyDescent="0.35">
      <c r="A7" t="s">
        <v>54</v>
      </c>
    </row>
    <row r="8" spans="1:1" x14ac:dyDescent="0.35">
      <c r="A8" t="s">
        <v>55</v>
      </c>
    </row>
    <row r="9" spans="1:1" x14ac:dyDescent="0.35">
      <c r="A9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Params</vt:lpstr>
      <vt:lpstr>Dashboard</vt:lpstr>
      <vt:lpstr>Lookups</vt:lpstr>
      <vt:lpstr>Validation</vt:lpstr>
      <vt:lpstr>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2025-11-01T12:27:57Z</dcterms:created>
  <dcterms:modified xsi:type="dcterms:W3CDTF">2025-11-01T12:35:32Z</dcterms:modified>
</cp:coreProperties>
</file>