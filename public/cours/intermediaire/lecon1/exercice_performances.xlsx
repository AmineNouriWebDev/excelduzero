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excelduzero\excelduzero\public\cours\intermediaire\lecon1\"/>
    </mc:Choice>
  </mc:AlternateContent>
  <xr:revisionPtr revIDLastSave="0" documentId="8_{02E9A08B-A872-4E4B-8954-0516AFB0241C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Énoncé &amp; Consignes" sheetId="1" r:id="rId1"/>
    <sheet name="Performances" sheetId="2" r:id="rId2"/>
    <sheet name="Table_Ref" sheetId="3" r:id="rId3"/>
  </sheets>
  <calcPr calcId="191029"/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<sst xmlns="http://schemas.openxmlformats.org/spreadsheetml/2006/main" count="58" uniqueCount="58">
  <si>
    <t>Leçon – Exercices : SI, SI imbriqués et RECHERCHEV (approx.)</t>
  </si>
  <si>
    <t>Objectif : Classer des performances commerciales et calculer des primes, d'abord avec SI imbriqués, puis avec RECHERCHEV.</t>
  </si>
  <si>
    <t>Consignes (bornes harmonisées pour coïncider entre SI et RECHERCHEV) :</t>
  </si>
  <si>
    <t>- A : performance ≥ 110%</t>
  </si>
  <si>
    <t>- B : 90% ≤ performance &lt; 110%</t>
  </si>
  <si>
    <t>- C : 70% ≤ performance &lt; 90%</t>
  </si>
  <si>
    <t>- D : performance &lt; 70%</t>
  </si>
  <si>
    <t>Étapes à réaliser par l'apprenant :</t>
  </si>
  <si>
    <t>1) Dans la feuille 'Performances', calculez % d'atteinte en E2 : =D2/C2 puis recopiez vers le bas (format Pourcentage).</t>
  </si>
  <si>
    <t>2) Colonne F (Grade – méthode SI) : créez des SI imbriqués basés sur E (en %).</t>
  </si>
  <si>
    <t>3) Colonne G (Prime – méthode SI) : Prime = 500 € × multiplicateur (A:2, B:1,5, C:1, D:0,5).</t>
  </si>
  <si>
    <t>4) Feuille 'Table_Ref' : utilisez la table pour la méthode RECHERCHEV (approx.).</t>
  </si>
  <si>
    <t xml:space="preserve">   - H2 (Performances!H2) : Grade via RECHERCHEV (approx.).</t>
  </si>
  <si>
    <t xml:space="preserve">   - I2 : Multiplicateur via RECHERCHEV (approx.).</t>
  </si>
  <si>
    <t xml:space="preserve">   - J2 : Prime = 500 × I2.</t>
  </si>
  <si>
    <t>5) Comparez vos résultats SI vs RECHERCHEV (ils doivent coïncider).</t>
  </si>
  <si>
    <t>Astuce : RECHERCHEV en mode approximatif (dernier argument = VRAI/TRUE) requiert une colonne de bornes triée par ordre croissant et une plage SANS en-têtes.</t>
  </si>
  <si>
    <t>ID</t>
  </si>
  <si>
    <t>Commercial</t>
  </si>
  <si>
    <t>Objectif (€)</t>
  </si>
  <si>
    <t>Réalisé (€)</t>
  </si>
  <si>
    <t>% Atteinte</t>
  </si>
  <si>
    <t>Grade (SI)</t>
  </si>
  <si>
    <t>Prime (SI)</t>
  </si>
  <si>
    <t>Grade (RECHERCHEV)</t>
  </si>
  <si>
    <t>Multiplicateur (RECH.)</t>
  </si>
  <si>
    <t>Prime (RECH.)</t>
  </si>
  <si>
    <t>Jean Dupont</t>
  </si>
  <si>
    <t>Marie Lefèvre</t>
  </si>
  <si>
    <t>Pierre Martin</t>
  </si>
  <si>
    <t>Sophie Bernard</t>
  </si>
  <si>
    <t>Luc Moreau</t>
  </si>
  <si>
    <t>Claire Dubois</t>
  </si>
  <si>
    <t>Julien Laurent</t>
  </si>
  <si>
    <t>Isabelle Petit</t>
  </si>
  <si>
    <t>Thomas Robert</t>
  </si>
  <si>
    <t>Camille Richard</t>
  </si>
  <si>
    <t>Antoine Durand</t>
  </si>
  <si>
    <t>Élise Lambert</t>
  </si>
  <si>
    <t>Nicolas Fontaine</t>
  </si>
  <si>
    <t>Aurélie Rousseau</t>
  </si>
  <si>
    <t>François Girard</t>
  </si>
  <si>
    <t>Chloé Gauthier</t>
  </si>
  <si>
    <t>Mathieu Caron</t>
  </si>
  <si>
    <t>Valérie Noël</t>
  </si>
  <si>
    <t>Olivier Masson</t>
  </si>
  <si>
    <t>Charlotte Perrin</t>
  </si>
  <si>
    <t>Perf Min</t>
  </si>
  <si>
    <t>Grade</t>
  </si>
  <si>
    <t>Multiplicateur</t>
  </si>
  <si>
    <t>Rappels pour RECHERCHEV (approx.)</t>
  </si>
  <si>
    <t>D</t>
  </si>
  <si>
    <t>- La colonne 'Perf Min' est triée par ordre croissant.</t>
  </si>
  <si>
    <t>C</t>
  </si>
  <si>
    <t>- Utiliser une plage SANS en-têtes (A2:C5) et des références absolues ($A$2:$C$5).</t>
  </si>
  <si>
    <t>B</t>
  </si>
  <si>
    <t>- Dernier argument = VRAI (TRUE) pour la correspondance approximative (&lt;=).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</si>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</sst>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>
      <pane ySplit="1" topLeftCell="A2" activePane="bottomLeft" state="frozen"/>
      <selection pane="bottomLeft" activeCell="A14" sqref="A14"/>
    </sheetView>
  </sheetViews>
  <sheetFormatPr baseColWidth="10" defaultColWidth="8.7265625" defaultRowHeight="14.5" x14ac:dyDescent="0.35"/>
  <cols>
    <col min="1" max="1" width="120" customWidth="1"/>
  </cols>
  <sheetData>
    <row r="1" spans="1:1" x14ac:dyDescent="0.35">
      <c r="A1" s="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1" spans="1:1" x14ac:dyDescent="0.35">
      <c r="A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topLeftCell="C1" workbookViewId="0">
      <pane ySplit="1" topLeftCell="A2" activePane="bottomLeft" state="frozen"/>
      <selection pane="bottomLeft" activeCell="F8" sqref="F8"/>
    </sheetView>
  </sheetViews>
  <sheetFormatPr baseColWidth="10" defaultColWidth="8.7265625" defaultRowHeight="14.5" x14ac:dyDescent="0.35"/>
  <cols>
    <col min="1" max="1" width="6" customWidth="1"/>
    <col min="2" max="2" width="22" customWidth="1"/>
    <col min="3" max="4" width="14" customWidth="1"/>
    <col min="5" max="7" width="12" customWidth="1"/>
    <col min="8" max="8" width="18.81640625" bestFit="1" customWidth="1"/>
    <col min="9" max="9" width="18" customWidth="1"/>
    <col min="10" max="10" width="14" customWidth="1"/>
  </cols>
  <sheetData>
    <row r="1" spans="1:10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 x14ac:dyDescent="0.35">
      <c r="A2" s="3">
        <v>1</v>
      </c>
      <c r="B2" t="s">
        <v>27</v>
      </c>
      <c r="C2" s="6">
        <v>80000</v>
      </c>
      <c r="D2" s="6">
        <v>93500</v>
      </c>
      <c r="E2" s="4">
        <f t="shared" ref="E2:E21" si="0">IF(C2=0,"",D2/C2)</f>
        <v>1.16875</v>
      </c>
      <c r="F2" s="3"/>
      <c r="G2" s="3"/>
      <c r="H2" s="3"/>
      <c r="I2" s="3"/>
      <c r="J2" s="3"/>
    </row>
    <row r="3" spans="1:10" x14ac:dyDescent="0.35">
      <c r="A3" s="3">
        <v>2</v>
      </c>
      <c r="B3" t="s">
        <v>28</v>
      </c>
      <c r="C3" s="6">
        <v>95000</v>
      </c>
      <c r="D3" s="6">
        <v>83600</v>
      </c>
      <c r="E3" s="4">
        <f t="shared" si="0"/>
        <v>0.88</v>
      </c>
      <c r="F3" s="3"/>
      <c r="G3" s="3"/>
      <c r="H3" s="3"/>
      <c r="I3" s="3"/>
      <c r="J3" s="3"/>
    </row>
    <row r="4" spans="1:10" x14ac:dyDescent="0.35">
      <c r="A4" s="3">
        <v>3</v>
      </c>
      <c r="B4" t="s">
        <v>29</v>
      </c>
      <c r="C4" s="6">
        <v>70000</v>
      </c>
      <c r="D4" s="6">
        <v>53200</v>
      </c>
      <c r="E4" s="4">
        <f t="shared" si="0"/>
        <v>0.76</v>
      </c>
      <c r="F4" s="3"/>
      <c r="G4" s="3"/>
      <c r="H4" s="3"/>
      <c r="I4" s="3"/>
      <c r="J4" s="3"/>
    </row>
    <row r="5" spans="1:10" x14ac:dyDescent="0.35">
      <c r="A5" s="3">
        <v>4</v>
      </c>
      <c r="B5" t="s">
        <v>30</v>
      </c>
      <c r="C5" s="6">
        <v>60000</v>
      </c>
      <c r="D5" s="6">
        <v>40200</v>
      </c>
      <c r="E5" s="4">
        <f t="shared" si="0"/>
        <v>0.67</v>
      </c>
      <c r="F5" s="3"/>
      <c r="G5" s="3"/>
      <c r="H5" s="3"/>
      <c r="I5" s="3"/>
      <c r="J5" s="3"/>
    </row>
    <row r="6" spans="1:10" x14ac:dyDescent="0.35">
      <c r="A6" s="3">
        <v>5</v>
      </c>
      <c r="B6" t="s">
        <v>31</v>
      </c>
      <c r="C6" s="6">
        <v>120000</v>
      </c>
      <c r="D6" s="6">
        <v>154000</v>
      </c>
      <c r="E6" s="4">
        <f t="shared" si="0"/>
        <v>1.2833333333333334</v>
      </c>
      <c r="F6" s="3"/>
      <c r="G6" s="3"/>
      <c r="H6" s="3"/>
      <c r="I6" s="3"/>
      <c r="J6" s="3"/>
    </row>
    <row r="7" spans="1:10" x14ac:dyDescent="0.35">
      <c r="A7" s="3">
        <v>6</v>
      </c>
      <c r="B7" t="s">
        <v>32</v>
      </c>
      <c r="C7" s="6">
        <v>90000</v>
      </c>
      <c r="D7" s="6">
        <v>91800</v>
      </c>
      <c r="E7" s="4">
        <f t="shared" si="0"/>
        <v>1.02</v>
      </c>
      <c r="F7" s="3"/>
      <c r="G7" s="3"/>
      <c r="H7" s="3"/>
      <c r="I7" s="3"/>
      <c r="J7" s="3"/>
    </row>
    <row r="8" spans="1:10" x14ac:dyDescent="0.35">
      <c r="A8" s="3">
        <v>7</v>
      </c>
      <c r="B8" t="s">
        <v>33</v>
      </c>
      <c r="C8" s="6">
        <v>65000</v>
      </c>
      <c r="D8" s="6">
        <v>71200</v>
      </c>
      <c r="E8" s="4">
        <f t="shared" si="0"/>
        <v>1.0953846153846154</v>
      </c>
      <c r="F8" s="3"/>
      <c r="G8" s="3"/>
      <c r="H8" s="3"/>
      <c r="I8" s="3"/>
      <c r="J8" s="3"/>
    </row>
    <row r="9" spans="1:10" x14ac:dyDescent="0.35">
      <c r="A9" s="3">
        <v>8</v>
      </c>
      <c r="B9" t="s">
        <v>34</v>
      </c>
      <c r="C9" s="6">
        <v>75000</v>
      </c>
      <c r="D9" s="6">
        <v>68800</v>
      </c>
      <c r="E9" s="4">
        <f t="shared" si="0"/>
        <v>0.91733333333333333</v>
      </c>
      <c r="F9" s="3"/>
      <c r="G9" s="3"/>
      <c r="H9" s="3"/>
      <c r="I9" s="3"/>
      <c r="J9" s="3"/>
    </row>
    <row r="10" spans="1:10" x14ac:dyDescent="0.35">
      <c r="A10" s="3">
        <v>9</v>
      </c>
      <c r="B10" t="s">
        <v>35</v>
      </c>
      <c r="C10" s="6">
        <v>50000</v>
      </c>
      <c r="D10" s="6">
        <v>30500</v>
      </c>
      <c r="E10" s="4">
        <f t="shared" si="0"/>
        <v>0.61</v>
      </c>
      <c r="F10" s="3"/>
      <c r="G10" s="3"/>
      <c r="H10" s="3"/>
      <c r="I10" s="3"/>
      <c r="J10" s="3"/>
    </row>
    <row r="11" spans="1:10" x14ac:dyDescent="0.35">
      <c r="A11" s="3">
        <v>10</v>
      </c>
      <c r="B11" t="s">
        <v>36</v>
      </c>
      <c r="C11" s="6">
        <v>85000</v>
      </c>
      <c r="D11" s="6">
        <v>100200</v>
      </c>
      <c r="E11" s="4">
        <f t="shared" si="0"/>
        <v>1.1788235294117646</v>
      </c>
      <c r="F11" s="3"/>
      <c r="G11" s="3"/>
      <c r="H11" s="3"/>
      <c r="I11" s="3"/>
      <c r="J11" s="3"/>
    </row>
    <row r="12" spans="1:10" x14ac:dyDescent="0.35">
      <c r="A12" s="3">
        <v>11</v>
      </c>
      <c r="B12" t="s">
        <v>37</v>
      </c>
      <c r="C12" s="6">
        <v>110000</v>
      </c>
      <c r="D12" s="6">
        <v>121000</v>
      </c>
      <c r="E12" s="4">
        <f t="shared" si="0"/>
        <v>1.1000000000000001</v>
      </c>
      <c r="F12" s="3"/>
      <c r="G12" s="3"/>
      <c r="H12" s="3"/>
      <c r="I12" s="3"/>
      <c r="J12" s="3"/>
    </row>
    <row r="13" spans="1:10" x14ac:dyDescent="0.35">
      <c r="A13" s="3">
        <v>12</v>
      </c>
      <c r="B13" t="s">
        <v>38</v>
      </c>
      <c r="C13" s="6">
        <v>78000</v>
      </c>
      <c r="D13" s="6">
        <v>74500</v>
      </c>
      <c r="E13" s="4">
        <f t="shared" si="0"/>
        <v>0.95512820512820518</v>
      </c>
      <c r="F13" s="3"/>
      <c r="G13" s="3"/>
      <c r="H13" s="3"/>
      <c r="I13" s="3"/>
      <c r="J13" s="3"/>
    </row>
    <row r="14" spans="1:10" x14ac:dyDescent="0.35">
      <c r="A14" s="3">
        <v>13</v>
      </c>
      <c r="B14" t="s">
        <v>39</v>
      </c>
      <c r="C14" s="6">
        <v>90000</v>
      </c>
      <c r="D14" s="6">
        <v>80300</v>
      </c>
      <c r="E14" s="4">
        <f t="shared" si="0"/>
        <v>0.89222222222222225</v>
      </c>
      <c r="F14" s="3"/>
      <c r="G14" s="3"/>
      <c r="H14" s="3"/>
      <c r="I14" s="3"/>
      <c r="J14" s="3"/>
    </row>
    <row r="15" spans="1:10" x14ac:dyDescent="0.35">
      <c r="A15" s="3">
        <v>14</v>
      </c>
      <c r="B15" t="s">
        <v>40</v>
      </c>
      <c r="C15" s="6">
        <v>72000</v>
      </c>
      <c r="D15" s="6">
        <v>51500</v>
      </c>
      <c r="E15" s="4">
        <f t="shared" si="0"/>
        <v>0.71527777777777779</v>
      </c>
      <c r="F15" s="3"/>
      <c r="G15" s="3"/>
      <c r="H15" s="3"/>
      <c r="I15" s="3"/>
      <c r="J15" s="3"/>
    </row>
    <row r="16" spans="1:10" x14ac:dyDescent="0.35">
      <c r="A16" s="3">
        <v>15</v>
      </c>
      <c r="B16" t="s">
        <v>41</v>
      </c>
      <c r="C16" s="6">
        <v>65000</v>
      </c>
      <c r="D16" s="6">
        <v>67900</v>
      </c>
      <c r="E16" s="4">
        <f t="shared" si="0"/>
        <v>1.0446153846153847</v>
      </c>
      <c r="F16" s="3"/>
      <c r="G16" s="3"/>
      <c r="H16" s="3"/>
      <c r="I16" s="3"/>
      <c r="J16" s="3"/>
    </row>
    <row r="17" spans="1:10" x14ac:dyDescent="0.35">
      <c r="A17" s="3">
        <v>16</v>
      </c>
      <c r="B17" t="s">
        <v>42</v>
      </c>
      <c r="C17" s="6">
        <v>60000</v>
      </c>
      <c r="D17" s="6">
        <v>66400</v>
      </c>
      <c r="E17" s="4">
        <f t="shared" si="0"/>
        <v>1.1066666666666667</v>
      </c>
      <c r="F17" s="3"/>
      <c r="G17" s="3"/>
      <c r="H17" s="3"/>
      <c r="I17" s="3"/>
      <c r="J17" s="3"/>
    </row>
    <row r="18" spans="1:10" x14ac:dyDescent="0.35">
      <c r="A18" s="3">
        <v>17</v>
      </c>
      <c r="B18" t="s">
        <v>43</v>
      </c>
      <c r="C18" s="6">
        <v>70000</v>
      </c>
      <c r="D18" s="6">
        <v>56700</v>
      </c>
      <c r="E18" s="4">
        <f t="shared" si="0"/>
        <v>0.81</v>
      </c>
      <c r="F18" s="3"/>
      <c r="G18" s="3"/>
      <c r="H18" s="3"/>
      <c r="I18" s="3"/>
      <c r="J18" s="3"/>
    </row>
    <row r="19" spans="1:10" x14ac:dyDescent="0.35">
      <c r="A19" s="3">
        <v>18</v>
      </c>
      <c r="B19" t="s">
        <v>44</v>
      </c>
      <c r="C19" s="6">
        <v>95000</v>
      </c>
      <c r="D19" s="6">
        <v>104500</v>
      </c>
      <c r="E19" s="4">
        <f t="shared" si="0"/>
        <v>1.1000000000000001</v>
      </c>
      <c r="F19" s="3"/>
      <c r="G19" s="3"/>
      <c r="H19" s="3"/>
      <c r="I19" s="3"/>
      <c r="J19" s="3"/>
    </row>
    <row r="20" spans="1:10" x14ac:dyDescent="0.35">
      <c r="A20" s="3">
        <v>19</v>
      </c>
      <c r="B20" t="s">
        <v>45</v>
      </c>
      <c r="C20" s="6">
        <v>80000</v>
      </c>
      <c r="D20" s="6">
        <v>89900</v>
      </c>
      <c r="E20" s="4">
        <f t="shared" si="0"/>
        <v>1.12375</v>
      </c>
      <c r="F20" s="3"/>
      <c r="G20" s="3"/>
      <c r="H20" s="3"/>
      <c r="I20" s="3"/>
      <c r="J20" s="3"/>
    </row>
    <row r="21" spans="1:10" x14ac:dyDescent="0.35">
      <c r="A21" s="3">
        <v>20</v>
      </c>
      <c r="B21" t="s">
        <v>46</v>
      </c>
      <c r="C21" s="6">
        <v>50000</v>
      </c>
      <c r="D21" s="6">
        <v>36000</v>
      </c>
      <c r="E21" s="4">
        <f t="shared" si="0"/>
        <v>0.72</v>
      </c>
      <c r="F21" s="3"/>
      <c r="G21" s="3"/>
      <c r="H21" s="3"/>
      <c r="I21" s="3"/>
      <c r="J2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4" sqref="C4"/>
    </sheetView>
  </sheetViews>
  <sheetFormatPr baseColWidth="10" defaultColWidth="8.7265625" defaultRowHeight="14.5" x14ac:dyDescent="0.35"/>
  <cols>
    <col min="1" max="2" width="12" customWidth="1"/>
    <col min="3" max="3" width="16" customWidth="1"/>
    <col min="5" max="5" width="70" customWidth="1"/>
  </cols>
  <sheetData>
    <row r="1" spans="1:5" x14ac:dyDescent="0.35">
      <c r="A1" s="1" t="s">
        <v>47</v>
      </c>
      <c r="B1" s="1" t="s">
        <v>48</v>
      </c>
      <c r="C1" s="1" t="s">
        <v>49</v>
      </c>
      <c r="E1" s="1" t="s">
        <v>50</v>
      </c>
    </row>
    <row r="2" spans="1:5" x14ac:dyDescent="0.35">
      <c r="A2" s="4">
        <v>0</v>
      </c>
      <c r="B2" t="s">
        <v>51</v>
      </c>
      <c r="C2" s="5">
        <v>0.5</v>
      </c>
      <c r="E2" t="s">
        <v>52</v>
      </c>
    </row>
    <row r="3" spans="1:5" x14ac:dyDescent="0.35">
      <c r="A3" s="4">
        <v>0.7</v>
      </c>
      <c r="B3" t="s">
        <v>53</v>
      </c>
      <c r="C3" s="5">
        <v>1</v>
      </c>
      <c r="E3" t="s">
        <v>54</v>
      </c>
    </row>
    <row r="4" spans="1:5" x14ac:dyDescent="0.35">
      <c r="A4" s="4">
        <v>0.9</v>
      </c>
      <c r="B4" t="s">
        <v>55</v>
      </c>
      <c r="C4" s="5">
        <v>1.5</v>
      </c>
      <c r="E4" t="s">
        <v>56</v>
      </c>
    </row>
    <row r="5" spans="1:5" x14ac:dyDescent="0.35">
      <c r="A5" s="4">
        <v>1.1000000000000001</v>
      </c>
      <c r="B5" t="s">
        <v>57</v>
      </c>
      <c r="C5" s="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Énoncé &amp; Consignes</vt:lpstr>
      <vt:lpstr>Performances</vt:lpstr>
      <vt:lpstr>Table_Ref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2025-10-05T15:31:19Z</dcterms:created>
  <dcterms:modified xsi:type="dcterms:W3CDTF">2025-10-05T17:26:49Z</dcterms:modified>
</cp:coreProperties>
</file>